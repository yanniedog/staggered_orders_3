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Helpers" sheetId="2" state="visible" r:id="rId2"/>
    <sheet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1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sz val="13"/>
    </font>
    <font>
      <b val="1"/>
      <sz val="10"/>
    </font>
    <font>
      <sz val="11"/>
    </font>
    <font>
      <i val="1"/>
      <color rgb="00666666"/>
      <sz val="9"/>
    </font>
    <font>
      <b val="1"/>
      <sz val="11"/>
    </font>
    <font>
      <b val="1"/>
      <sz val="14"/>
    </font>
    <font>
      <b val="1"/>
      <i val="1"/>
      <color rgb="00FF0000"/>
      <sz val="10"/>
    </font>
    <font>
      <sz val="9"/>
    </font>
    <font>
      <b val="1"/>
      <color rgb="00FF0000"/>
      <sz val="9"/>
    </font>
    <font>
      <b val="1"/>
      <color rgb="00FF8800"/>
      <sz val="9"/>
    </font>
    <font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3FF"/>
        <bgColor rgb="00E7F3FF"/>
      </patternFill>
    </fill>
    <fill>
      <patternFill patternType="solid">
        <fgColor rgb="00FFFFFF"/>
        <bgColor rgb="00FFFFFF"/>
      </patternFill>
    </fill>
    <fill>
      <patternFill patternType="solid">
        <fgColor rgb="00FFF4E6"/>
        <bgColor rgb="00FFF4E6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F5F5F5"/>
        <bgColor rgb="00F5F5F5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9C4"/>
        <bgColor rgb="00FFF9C4"/>
      </patternFill>
    </fill>
    <fill>
      <patternFill patternType="solid">
        <fgColor rgb="00FFF3E0"/>
        <bgColor rgb="00FFF3E0"/>
      </patternFill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horizontal="right" vertical="center"/>
    </xf>
    <xf numFmtId="4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3" fillId="5" borderId="0" applyAlignment="1" pivotButton="0" quotePrefix="0" xfId="0">
      <alignment horizontal="right" vertical="center"/>
    </xf>
    <xf numFmtId="4" fontId="6" fillId="4" borderId="2" applyAlignment="1" pivotButton="0" quotePrefix="0" xfId="0">
      <alignment horizontal="center" vertical="center"/>
    </xf>
    <xf numFmtId="1" fontId="6" fillId="4" borderId="2" applyAlignment="1" pivotButton="0" quotePrefix="0" xfId="0">
      <alignment horizontal="center" vertical="center"/>
    </xf>
    <xf numFmtId="4" fontId="6" fillId="6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0" fontId="2" fillId="11" borderId="0" pivotButton="0" quotePrefix="0" xfId="0"/>
    <xf numFmtId="0" fontId="12" fillId="11" borderId="2" applyAlignment="1" pivotButton="0" quotePrefix="0" xfId="0">
      <alignment horizontal="center" vertical="center"/>
    </xf>
    <xf numFmtId="4" fontId="12" fillId="11" borderId="2" applyAlignment="1" pivotButton="0" quotePrefix="0" xfId="0">
      <alignment horizontal="center" vertical="center"/>
    </xf>
    <xf numFmtId="165" fontId="0" fillId="0" borderId="0" pivotButton="0" quotePrefix="0" xfId="0"/>
    <xf numFmtId="4" fontId="0" fillId="0" borderId="0" pivotButton="0" quotePrefix="0" xfId="0"/>
    <xf numFmtId="165" fontId="12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4" fontId="0" fillId="11" borderId="2" pivotButton="0" quotePrefix="0" xfId="0"/>
    <xf numFmtId="165" fontId="0" fillId="11" borderId="2" pivotButton="0" quotePrefix="0" xfId="0"/>
    <xf numFmtId="0" fontId="2" fillId="9" borderId="0" pivotButton="0" quotePrefix="0" xfId="0"/>
    <xf numFmtId="0" fontId="12" fillId="9" borderId="2" applyAlignment="1" pivotButton="0" quotePrefix="0" xfId="0">
      <alignment horizontal="center" vertical="center"/>
    </xf>
    <xf numFmtId="4" fontId="12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4" fontId="0" fillId="9" borderId="2" pivotButton="0" quotePrefix="0" xfId="0"/>
    <xf numFmtId="165" fontId="0" fillId="9" borderId="2" pivotButton="0" quotePrefix="0" xfId="0"/>
    <xf numFmtId="0" fontId="2" fillId="0" borderId="0" pivotButton="0" quotePrefix="0" xfId="0"/>
    <xf numFmtId="0" fontId="5" fillId="0" borderId="0" pivotButton="0" quotePrefix="0" xfId="0"/>
    <xf numFmtId="0" fontId="7" fillId="8" borderId="0" pivotButton="0" quotePrefix="0" xfId="0"/>
    <xf numFmtId="0" fontId="8" fillId="9" borderId="0" pivotButton="0" quotePrefix="0" xfId="0"/>
    <xf numFmtId="0" fontId="6" fillId="10" borderId="0" pivotButton="0" quotePrefix="0" xfId="0"/>
    <xf numFmtId="0" fontId="5" fillId="0" borderId="0" applyAlignment="1" pivotButton="0" quotePrefix="0" xfId="0">
      <alignment horizontal="right" vertical="center"/>
    </xf>
    <xf numFmtId="4" fontId="0" fillId="0" borderId="2" pivotButton="0" quotePrefix="0" xfId="0"/>
    <xf numFmtId="0" fontId="6" fillId="11" borderId="0" pivotButton="0" quotePrefix="0" xfId="0"/>
    <xf numFmtId="165" fontId="0" fillId="0" borderId="2" pivotButton="0" quotePrefix="0" xfId="0"/>
    <xf numFmtId="0" fontId="6" fillId="9" borderId="0" pivotButton="0" quotePrefix="0" xfId="0"/>
    <xf numFmtId="0" fontId="6" fillId="12" borderId="0" pivotButton="0" quotePrefix="0" xfId="0"/>
    <xf numFmtId="0" fontId="9" fillId="0" borderId="0" applyAlignment="1" pivotButton="0" quotePrefix="0" xfId="0">
      <alignment horizontal="right" vertical="center"/>
    </xf>
    <xf numFmtId="0" fontId="10" fillId="9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Buy Ladder: Price by Order Rung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'Calculator'!B20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'Calculator'!$A$21:$A$40</f>
            </numRef>
          </cat>
          <val>
            <numRef>
              <f>'Calculator'!$B$21:$B$40</f>
            </numRef>
          </val>
        </ser>
        <ser>
          <idx val="1"/>
          <order val="1"/>
          <tx>
            <strRef>
              <f>'Calculator'!J20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'Calculator'!$A$21:$A$40</f>
            </numRef>
          </cat>
          <val>
            <numRef>
              <f>'Calculator'!$J$21:$J$40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Buy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Buy Ladder: Quantity by Order Rung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'Calculator'!G20</f>
            </strRef>
          </tx>
          <spPr>
            <a:ln>
              <a:prstDash val="solid"/>
            </a:ln>
          </spPr>
          <cat>
            <numRef>
              <f>'Calculator'!$A$21:$A$40</f>
            </numRef>
          </cat>
          <val>
            <numRef>
              <f>'Calculator'!$G$21:$G$40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Buy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Sell Ladder: Price by Order Rung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'Calculator'!C45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'Calculator'!$A$46:$A$65</f>
            </numRef>
          </cat>
          <val>
            <numRef>
              <f>'Calculator'!$C$46:$C$65</f>
            </numRef>
          </val>
        </ser>
        <ser>
          <idx val="1"/>
          <order val="1"/>
          <tx>
            <strRef>
              <f>'Calculator'!K45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'Calculator'!$A$46:$A$65</f>
            </numRef>
          </cat>
          <val>
            <numRef>
              <f>'Calculator'!$K$46:$K$65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Sell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Sell Ladder: Quantity by Order Rung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'Calculator'!G45</f>
            </strRef>
          </tx>
          <spPr>
            <a:ln>
              <a:prstDash val="solid"/>
            </a:ln>
          </spPr>
          <cat>
            <numRef>
              <f>'Calculator'!$A$46:$A$65</f>
            </numRef>
          </cat>
          <val>
            <numRef>
              <f>'Calculator'!$G$46:$G$65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Sell Order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Combined Buy/Sell Ladder: Average Price vs Order Price</a:t>
            </a:r>
          </a:p>
        </rich>
      </tx>
    </title>
    <plotArea>
      <scatterChart>
        <ser>
          <idx val="0"/>
          <order val="0"/>
          <tx>
            <v>Buy Orders</v>
          </tx>
          <spPr>
            <a:ln w="28575">
              <a:solidFill>
                <a:srgbClr val="2E7D3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'Calculator'!$B$21:$B$40</f>
            </numRef>
          </xVal>
          <yVal>
            <numRef>
              <f>'Calculator'!$J$21:$J$40</f>
            </numRef>
          </yVal>
        </ser>
        <ser>
          <idx val="1"/>
          <order val="1"/>
          <tx>
            <v>Sell Orders</v>
          </tx>
          <spPr>
            <a:ln w="28575">
              <a:solidFill>
                <a:srgbClr val="C6282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'Calculator'!$C$46:$C$65</f>
            </numRef>
          </xVal>
          <yVal>
            <numRef>
              <f>'Calculator'!$K$46:$K$65</f>
            </numRef>
          </yVal>
        </ser>
        <axId val="10"/>
        <axId val="20"/>
      </scatterChart>
      <valAx>
        <axId val="1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 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Average 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 Quantities: Buy vs Sell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'Calculator'!G20</f>
            </strRef>
          </tx>
          <spPr>
            <a:ln>
              <a:prstDash val="solid"/>
            </a:ln>
          </spPr>
          <cat>
            <numRef>
              <f>'Calculator'!$A$21:$A$40</f>
            </numRef>
          </cat>
          <val>
            <numRef>
              <f>'Calculator'!$G$21:$G$40</f>
            </numRef>
          </val>
        </ser>
        <ser>
          <idx val="1"/>
          <order val="1"/>
          <tx>
            <strRef>
              <f>'Calculator'!G45</f>
            </strRef>
          </tx>
          <spPr>
            <a:ln>
              <a:prstDash val="solid"/>
            </a:ln>
          </spPr>
          <cat>
            <numRef>
              <f>'Calculator'!$A$21:$A$40</f>
            </numRef>
          </cat>
          <val>
            <numRef>
              <f>'Calculator'!$G$46:$G$65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Order Rung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Quantity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14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0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15</col>
      <colOff>0</colOff>
      <row>14</row>
      <rowOff>0</rowOff>
    </from>
    <ext cx="648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29</row>
      <rowOff>0</rowOff>
    </from>
    <ext cx="720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15</col>
      <colOff>0</colOff>
      <row>29</row>
      <rowOff>0</rowOff>
    </from>
    <ext cx="6480000" cy="36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0.1" customWidth="1" min="4" max="4"/>
    <col width="0.1" customWidth="1" min="5" max="5"/>
    <col width="14" customWidth="1" min="6" max="6"/>
    <col width="12" customWidth="1" min="7" max="7"/>
    <col width="16" customWidth="1" min="8" max="8"/>
    <col width="14" customWidth="1" min="9" max="9"/>
    <col width="14" customWidth="1" min="10" max="10"/>
    <col width="37" customWidth="1" min="11" max="11"/>
  </cols>
  <sheetData>
    <row r="1" ht="30" customHeight="1">
      <c r="A1" s="1" t="inlineStr">
        <is>
          <t>STAGGERED ORDER LADDER CALCULATOR</t>
        </is>
      </c>
    </row>
    <row r="2"/>
    <row r="3" ht="22" customHeight="1">
      <c r="A3" s="2" t="inlineStr">
        <is>
          <t>INPUT PARAMETERS</t>
        </is>
      </c>
    </row>
    <row r="4" ht="20" customHeight="1">
      <c r="A4" s="3" t="inlineStr">
        <is>
          <t>Total Budget ($)</t>
        </is>
      </c>
      <c r="B4" s="4" t="n">
        <v>10000</v>
      </c>
      <c r="C4" s="5" t="inlineStr">
        <is>
          <t>Total amount available for buy orders</t>
        </is>
      </c>
    </row>
    <row r="5" ht="20" customHeight="1">
      <c r="A5" s="3" t="inlineStr">
        <is>
          <t>Current Price ($)</t>
        </is>
      </c>
      <c r="B5" s="4" t="n">
        <v>50</v>
      </c>
      <c r="C5" s="5" t="inlineStr">
        <is>
          <t>Current market price (highest buy rung)</t>
        </is>
      </c>
    </row>
    <row r="6" ht="20" customHeight="1">
      <c r="A6" s="3" t="inlineStr">
        <is>
          <t>Profit Target (%)</t>
        </is>
      </c>
      <c r="B6" s="6" t="n">
        <v>75</v>
      </c>
      <c r="C6" s="5" t="inlineStr">
        <is>
          <t>Target profit percentage (10-200%)</t>
        </is>
      </c>
    </row>
    <row r="7" ht="20" customHeight="1">
      <c r="A7" s="3" t="inlineStr">
        <is>
          <t>Number of Rungs</t>
        </is>
      </c>
      <c r="B7" s="7" t="n">
        <v>10</v>
      </c>
      <c r="C7" s="5" t="inlineStr">
        <is>
          <t>Number of buy/sell orders to place</t>
        </is>
      </c>
    </row>
    <row r="8" ht="20" customHeight="1">
      <c r="A8" s="3" t="inlineStr">
        <is>
          <t>Buy Price Range (%)</t>
        </is>
      </c>
      <c r="B8" s="6" t="n">
        <v>30</v>
      </c>
      <c r="C8" s="5" t="inlineStr">
        <is>
          <t>Price range for buy ladder (0-100%)</t>
        </is>
      </c>
    </row>
    <row r="9"/>
    <row r="10" ht="22" customHeight="1">
      <c r="A10" s="8" t="inlineStr">
        <is>
          <t>SUMMARY RESULTS</t>
        </is>
      </c>
    </row>
    <row r="11" ht="18" customHeight="1">
      <c r="A11" s="9" t="inlineStr">
        <is>
          <t>Total Budget</t>
        </is>
      </c>
      <c r="B11" s="10">
        <f>$B$4</f>
        <v/>
      </c>
    </row>
    <row r="12" ht="18" customHeight="1">
      <c r="A12" s="9" t="inlineStr">
        <is>
          <t>Number of Rungs</t>
        </is>
      </c>
      <c r="B12" s="11">
        <f>$B$7</f>
        <v/>
      </c>
    </row>
    <row r="13" ht="18" customHeight="1">
      <c r="A13" s="9" t="inlineStr">
        <is>
          <t>Total Cost</t>
        </is>
      </c>
      <c r="B13" s="10">
        <f>SUM(F21:F40)</f>
        <v/>
      </c>
    </row>
    <row r="14" ht="18" customHeight="1">
      <c r="A14" s="9" t="inlineStr">
        <is>
          <t>Total Revenue</t>
        </is>
      </c>
      <c r="B14" s="10">
        <f>SUM(H46:H65)</f>
        <v/>
      </c>
    </row>
    <row r="15" ht="18" customHeight="1">
      <c r="A15" s="9" t="inlineStr">
        <is>
          <t>Total Profit</t>
        </is>
      </c>
      <c r="B15" s="12">
        <f>B14-B13</f>
        <v/>
      </c>
    </row>
    <row r="16" ht="18" customHeight="1">
      <c r="A16" s="9" t="inlineStr">
        <is>
          <t>Profit Percentage</t>
        </is>
      </c>
      <c r="B16" s="13">
        <f>IF(B13&gt;0,(B15/B13)*100,0)</f>
        <v/>
      </c>
    </row>
    <row r="17" ht="18" customHeight="1">
      <c r="A17" s="9" t="inlineStr">
        <is>
          <t>Total Buy Quantity</t>
        </is>
      </c>
      <c r="B17" s="14">
        <f>SUM(G21:G40)</f>
        <v/>
      </c>
    </row>
    <row r="18" ht="18" customHeight="1">
      <c r="A18" s="9" t="inlineStr">
        <is>
          <t>Total Sell Quantity</t>
        </is>
      </c>
      <c r="B18" s="14">
        <f>SUM(G46:G65)</f>
        <v/>
      </c>
    </row>
    <row r="19"/>
    <row r="20" ht="22" customHeight="1">
      <c r="A20" s="15" t="inlineStr">
        <is>
          <t>BUY ORDERS</t>
        </is>
      </c>
    </row>
    <row r="21">
      <c r="A21" s="16" t="n">
        <v>1</v>
      </c>
      <c r="B21" s="17">
        <f>IF(1&lt;=$B$7,'Helpers'!$B$6+('Helpers'!$B$5-'Helpers'!$B$6)*(1-1)/(IF($B$7&gt;1,$B$7-1,1)),0)</f>
        <v/>
      </c>
      <c r="C21" s="18">
        <f>IF(1&lt;=$B$7,EXP(2-2*(1-1)/(IF($B$7&gt;1,$B$7-1,1))),0)</f>
        <v/>
      </c>
      <c r="D21" s="18">
        <f>IF(1&lt;=$B$7,IF(SUM(C21:C40)&gt;0,C21/SUM(C21:C40),0),0)</f>
        <v/>
      </c>
      <c r="E21" s="19">
        <f>IF(1&lt;=$B$7,IF(ISNUMBER(D21),$B$4*D21,0),0)</f>
        <v/>
      </c>
      <c r="F21" s="17">
        <f>IF(1&lt;=$B$7,IF(AND(ISNUMBER(E21),SUM(E21:E40)&gt;0),E21*($B$4/SUM(E21:E40)),0),0)</f>
        <v/>
      </c>
      <c r="G21" s="20">
        <f>IF(1&lt;=$B$7,IF(B21&gt;0,F21/B21,0),0)</f>
        <v/>
      </c>
      <c r="H21" s="17">
        <f>F21</f>
        <v/>
      </c>
      <c r="I21" s="20">
        <f>G21</f>
        <v/>
      </c>
      <c r="J21" s="17">
        <f>IF(1&lt;=$B$7,IF(I21&gt;0,H21/I21,0),0)</f>
        <v/>
      </c>
    </row>
    <row r="22">
      <c r="A22" s="21" t="n">
        <v>2</v>
      </c>
      <c r="B22" s="22">
        <f>IF(2&lt;=$B$7,'Helpers'!$B$6+('Helpers'!$B$5-'Helpers'!$B$6)*(2-1)/(IF($B$7&gt;1,$B$7-1,1)),0)</f>
        <v/>
      </c>
      <c r="C22" s="18">
        <f>IF(2&lt;=$B$7,EXP(2-2*(2-1)/(IF($B$7&gt;1,$B$7-1,1))),0)</f>
        <v/>
      </c>
      <c r="D22" s="18">
        <f>IF(2&lt;=$B$7,IF(SUM(C21:C40)&gt;0,C22/SUM(C21:C40),0),0)</f>
        <v/>
      </c>
      <c r="E22" s="19">
        <f>IF(2&lt;=$B$7,IF(ISNUMBER(D22),$B$4*D22,0),0)</f>
        <v/>
      </c>
      <c r="F22" s="22">
        <f>IF(2&lt;=$B$7,IF(AND(ISNUMBER(E22),SUM(E21:E40)&gt;0),E22*($B$4/SUM(E21:E40)),0),0)</f>
        <v/>
      </c>
      <c r="G22" s="23">
        <f>IF(2&lt;=$B$7,IF(B22&gt;0,F22/B22,0),0)</f>
        <v/>
      </c>
      <c r="H22" s="22">
        <f>IF(2&lt;=$B$7,F22+H21,0)</f>
        <v/>
      </c>
      <c r="I22" s="23">
        <f>IF(2&lt;=$B$7,G22+I21,0)</f>
        <v/>
      </c>
      <c r="J22" s="22">
        <f>IF(2&lt;=$B$7,IF(I22&gt;0,H22/I22,0),0)</f>
        <v/>
      </c>
    </row>
    <row r="23">
      <c r="A23" s="21" t="n">
        <v>3</v>
      </c>
      <c r="B23" s="22">
        <f>IF(3&lt;=$B$7,'Helpers'!$B$6+('Helpers'!$B$5-'Helpers'!$B$6)*(3-1)/(IF($B$7&gt;1,$B$7-1,1)),0)</f>
        <v/>
      </c>
      <c r="C23" s="18">
        <f>IF(3&lt;=$B$7,EXP(2-2*(3-1)/(IF($B$7&gt;1,$B$7-1,1))),0)</f>
        <v/>
      </c>
      <c r="D23" s="18">
        <f>IF(3&lt;=$B$7,IF(SUM(C21:C40)&gt;0,C23/SUM(C21:C40),0),0)</f>
        <v/>
      </c>
      <c r="E23" s="19">
        <f>IF(3&lt;=$B$7,IF(ISNUMBER(D23),$B$4*D23,0),0)</f>
        <v/>
      </c>
      <c r="F23" s="22">
        <f>IF(3&lt;=$B$7,IF(AND(ISNUMBER(E23),SUM(E21:E40)&gt;0),E23*($B$4/SUM(E21:E40)),0),0)</f>
        <v/>
      </c>
      <c r="G23" s="23">
        <f>IF(3&lt;=$B$7,IF(B23&gt;0,F23/B23,0),0)</f>
        <v/>
      </c>
      <c r="H23" s="22">
        <f>IF(3&lt;=$B$7,F23+H22,0)</f>
        <v/>
      </c>
      <c r="I23" s="23">
        <f>IF(3&lt;=$B$7,G23+I22,0)</f>
        <v/>
      </c>
      <c r="J23" s="22">
        <f>IF(3&lt;=$B$7,IF(I23&gt;0,H23/I23,0),0)</f>
        <v/>
      </c>
    </row>
    <row r="24">
      <c r="A24" s="21" t="n">
        <v>4</v>
      </c>
      <c r="B24" s="22">
        <f>IF(4&lt;=$B$7,'Helpers'!$B$6+('Helpers'!$B$5-'Helpers'!$B$6)*(4-1)/(IF($B$7&gt;1,$B$7-1,1)),0)</f>
        <v/>
      </c>
      <c r="C24" s="18">
        <f>IF(4&lt;=$B$7,EXP(2-2*(4-1)/(IF($B$7&gt;1,$B$7-1,1))),0)</f>
        <v/>
      </c>
      <c r="D24" s="18">
        <f>IF(4&lt;=$B$7,IF(SUM(C21:C40)&gt;0,C24/SUM(C21:C40),0),0)</f>
        <v/>
      </c>
      <c r="E24" s="19">
        <f>IF(4&lt;=$B$7,IF(ISNUMBER(D24),$B$4*D24,0),0)</f>
        <v/>
      </c>
      <c r="F24" s="22">
        <f>IF(4&lt;=$B$7,IF(AND(ISNUMBER(E24),SUM(E21:E40)&gt;0),E24*($B$4/SUM(E21:E40)),0),0)</f>
        <v/>
      </c>
      <c r="G24" s="23">
        <f>IF(4&lt;=$B$7,IF(B24&gt;0,F24/B24,0),0)</f>
        <v/>
      </c>
      <c r="H24" s="22">
        <f>IF(4&lt;=$B$7,F24+H23,0)</f>
        <v/>
      </c>
      <c r="I24" s="23">
        <f>IF(4&lt;=$B$7,G24+I23,0)</f>
        <v/>
      </c>
      <c r="J24" s="22">
        <f>IF(4&lt;=$B$7,IF(I24&gt;0,H24/I24,0),0)</f>
        <v/>
      </c>
    </row>
    <row r="25">
      <c r="A25" s="21" t="n">
        <v>5</v>
      </c>
      <c r="B25" s="22">
        <f>IF(5&lt;=$B$7,'Helpers'!$B$6+('Helpers'!$B$5-'Helpers'!$B$6)*(5-1)/(IF($B$7&gt;1,$B$7-1,1)),0)</f>
        <v/>
      </c>
      <c r="C25" s="18">
        <f>IF(5&lt;=$B$7,EXP(2-2*(5-1)/(IF($B$7&gt;1,$B$7-1,1))),0)</f>
        <v/>
      </c>
      <c r="D25" s="18">
        <f>IF(5&lt;=$B$7,IF(SUM(C21:C40)&gt;0,C25/SUM(C21:C40),0),0)</f>
        <v/>
      </c>
      <c r="E25" s="19">
        <f>IF(5&lt;=$B$7,IF(ISNUMBER(D25),$B$4*D25,0),0)</f>
        <v/>
      </c>
      <c r="F25" s="22">
        <f>IF(5&lt;=$B$7,IF(AND(ISNUMBER(E25),SUM(E21:E40)&gt;0),E25*($B$4/SUM(E21:E40)),0),0)</f>
        <v/>
      </c>
      <c r="G25" s="23">
        <f>IF(5&lt;=$B$7,IF(B25&gt;0,F25/B25,0),0)</f>
        <v/>
      </c>
      <c r="H25" s="22">
        <f>IF(5&lt;=$B$7,F25+H24,0)</f>
        <v/>
      </c>
      <c r="I25" s="23">
        <f>IF(5&lt;=$B$7,G25+I24,0)</f>
        <v/>
      </c>
      <c r="J25" s="22">
        <f>IF(5&lt;=$B$7,IF(I25&gt;0,H25/I25,0),0)</f>
        <v/>
      </c>
    </row>
    <row r="26">
      <c r="A26" s="21" t="n">
        <v>6</v>
      </c>
      <c r="B26" s="22">
        <f>IF(6&lt;=$B$7,'Helpers'!$B$6+('Helpers'!$B$5-'Helpers'!$B$6)*(6-1)/(IF($B$7&gt;1,$B$7-1,1)),0)</f>
        <v/>
      </c>
      <c r="C26" s="18">
        <f>IF(6&lt;=$B$7,EXP(2-2*(6-1)/(IF($B$7&gt;1,$B$7-1,1))),0)</f>
        <v/>
      </c>
      <c r="D26" s="18">
        <f>IF(6&lt;=$B$7,IF(SUM(C21:C40)&gt;0,C26/SUM(C21:C40),0),0)</f>
        <v/>
      </c>
      <c r="E26" s="19">
        <f>IF(6&lt;=$B$7,IF(ISNUMBER(D26),$B$4*D26,0),0)</f>
        <v/>
      </c>
      <c r="F26" s="22">
        <f>IF(6&lt;=$B$7,IF(AND(ISNUMBER(E26),SUM(E21:E40)&gt;0),E26*($B$4/SUM(E21:E40)),0),0)</f>
        <v/>
      </c>
      <c r="G26" s="23">
        <f>IF(6&lt;=$B$7,IF(B26&gt;0,F26/B26,0),0)</f>
        <v/>
      </c>
      <c r="H26" s="22">
        <f>IF(6&lt;=$B$7,F26+H25,0)</f>
        <v/>
      </c>
      <c r="I26" s="23">
        <f>IF(6&lt;=$B$7,G26+I25,0)</f>
        <v/>
      </c>
      <c r="J26" s="22">
        <f>IF(6&lt;=$B$7,IF(I26&gt;0,H26/I26,0),0)</f>
        <v/>
      </c>
    </row>
    <row r="27">
      <c r="A27" s="21" t="n">
        <v>7</v>
      </c>
      <c r="B27" s="22">
        <f>IF(7&lt;=$B$7,'Helpers'!$B$6+('Helpers'!$B$5-'Helpers'!$B$6)*(7-1)/(IF($B$7&gt;1,$B$7-1,1)),0)</f>
        <v/>
      </c>
      <c r="C27" s="18">
        <f>IF(7&lt;=$B$7,EXP(2-2*(7-1)/(IF($B$7&gt;1,$B$7-1,1))),0)</f>
        <v/>
      </c>
      <c r="D27" s="18">
        <f>IF(7&lt;=$B$7,IF(SUM(C21:C40)&gt;0,C27/SUM(C21:C40),0),0)</f>
        <v/>
      </c>
      <c r="E27" s="19">
        <f>IF(7&lt;=$B$7,IF(ISNUMBER(D27),$B$4*D27,0),0)</f>
        <v/>
      </c>
      <c r="F27" s="22">
        <f>IF(7&lt;=$B$7,IF(AND(ISNUMBER(E27),SUM(E21:E40)&gt;0),E27*($B$4/SUM(E21:E40)),0),0)</f>
        <v/>
      </c>
      <c r="G27" s="23">
        <f>IF(7&lt;=$B$7,IF(B27&gt;0,F27/B27,0),0)</f>
        <v/>
      </c>
      <c r="H27" s="22">
        <f>IF(7&lt;=$B$7,F27+H26,0)</f>
        <v/>
      </c>
      <c r="I27" s="23">
        <f>IF(7&lt;=$B$7,G27+I26,0)</f>
        <v/>
      </c>
      <c r="J27" s="22">
        <f>IF(7&lt;=$B$7,IF(I27&gt;0,H27/I27,0),0)</f>
        <v/>
      </c>
    </row>
    <row r="28">
      <c r="A28" s="21" t="n">
        <v>8</v>
      </c>
      <c r="B28" s="22">
        <f>IF(8&lt;=$B$7,'Helpers'!$B$6+('Helpers'!$B$5-'Helpers'!$B$6)*(8-1)/(IF($B$7&gt;1,$B$7-1,1)),0)</f>
        <v/>
      </c>
      <c r="C28" s="18">
        <f>IF(8&lt;=$B$7,EXP(2-2*(8-1)/(IF($B$7&gt;1,$B$7-1,1))),0)</f>
        <v/>
      </c>
      <c r="D28" s="18">
        <f>IF(8&lt;=$B$7,IF(SUM(C21:C40)&gt;0,C28/SUM(C21:C40),0),0)</f>
        <v/>
      </c>
      <c r="E28" s="19">
        <f>IF(8&lt;=$B$7,IF(ISNUMBER(D28),$B$4*D28,0),0)</f>
        <v/>
      </c>
      <c r="F28" s="22">
        <f>IF(8&lt;=$B$7,IF(AND(ISNUMBER(E28),SUM(E21:E40)&gt;0),E28*($B$4/SUM(E21:E40)),0),0)</f>
        <v/>
      </c>
      <c r="G28" s="23">
        <f>IF(8&lt;=$B$7,IF(B28&gt;0,F28/B28,0),0)</f>
        <v/>
      </c>
      <c r="H28" s="22">
        <f>IF(8&lt;=$B$7,F28+H27,0)</f>
        <v/>
      </c>
      <c r="I28" s="23">
        <f>IF(8&lt;=$B$7,G28+I27,0)</f>
        <v/>
      </c>
      <c r="J28" s="22">
        <f>IF(8&lt;=$B$7,IF(I28&gt;0,H28/I28,0),0)</f>
        <v/>
      </c>
    </row>
    <row r="29">
      <c r="A29" s="21" t="n">
        <v>9</v>
      </c>
      <c r="B29" s="22">
        <f>IF(9&lt;=$B$7,'Helpers'!$B$6+('Helpers'!$B$5-'Helpers'!$B$6)*(9-1)/(IF($B$7&gt;1,$B$7-1,1)),0)</f>
        <v/>
      </c>
      <c r="C29" s="18">
        <f>IF(9&lt;=$B$7,EXP(2-2*(9-1)/(IF($B$7&gt;1,$B$7-1,1))),0)</f>
        <v/>
      </c>
      <c r="D29" s="18">
        <f>IF(9&lt;=$B$7,IF(SUM(C21:C40)&gt;0,C29/SUM(C21:C40),0),0)</f>
        <v/>
      </c>
      <c r="E29" s="19">
        <f>IF(9&lt;=$B$7,IF(ISNUMBER(D29),$B$4*D29,0),0)</f>
        <v/>
      </c>
      <c r="F29" s="22">
        <f>IF(9&lt;=$B$7,IF(AND(ISNUMBER(E29),SUM(E21:E40)&gt;0),E29*($B$4/SUM(E21:E40)),0),0)</f>
        <v/>
      </c>
      <c r="G29" s="23">
        <f>IF(9&lt;=$B$7,IF(B29&gt;0,F29/B29,0),0)</f>
        <v/>
      </c>
      <c r="H29" s="22">
        <f>IF(9&lt;=$B$7,F29+H28,0)</f>
        <v/>
      </c>
      <c r="I29" s="23">
        <f>IF(9&lt;=$B$7,G29+I28,0)</f>
        <v/>
      </c>
      <c r="J29" s="22">
        <f>IF(9&lt;=$B$7,IF(I29&gt;0,H29/I29,0),0)</f>
        <v/>
      </c>
    </row>
    <row r="30">
      <c r="A30" s="21" t="n">
        <v>10</v>
      </c>
      <c r="B30" s="22">
        <f>IF(10&lt;=$B$7,'Helpers'!$B$6+('Helpers'!$B$5-'Helpers'!$B$6)*(10-1)/(IF($B$7&gt;1,$B$7-1,1)),0)</f>
        <v/>
      </c>
      <c r="C30" s="18">
        <f>IF(10&lt;=$B$7,EXP(2-2*(10-1)/(IF($B$7&gt;1,$B$7-1,1))),0)</f>
        <v/>
      </c>
      <c r="D30" s="18">
        <f>IF(10&lt;=$B$7,IF(SUM(C21:C40)&gt;0,C30/SUM(C21:C40),0),0)</f>
        <v/>
      </c>
      <c r="E30" s="19">
        <f>IF(10&lt;=$B$7,IF(ISNUMBER(D30),$B$4*D30,0),0)</f>
        <v/>
      </c>
      <c r="F30" s="22">
        <f>IF(10&lt;=$B$7,IF(AND(ISNUMBER(E30),SUM(E21:E40)&gt;0),E30*($B$4/SUM(E21:E40)),0),0)</f>
        <v/>
      </c>
      <c r="G30" s="23">
        <f>IF(10&lt;=$B$7,IF(B30&gt;0,F30/B30,0),0)</f>
        <v/>
      </c>
      <c r="H30" s="22">
        <f>IF(10&lt;=$B$7,F30+H29,0)</f>
        <v/>
      </c>
      <c r="I30" s="23">
        <f>IF(10&lt;=$B$7,G30+I29,0)</f>
        <v/>
      </c>
      <c r="J30" s="22">
        <f>IF(10&lt;=$B$7,IF(I30&gt;0,H30/I30,0),0)</f>
        <v/>
      </c>
    </row>
    <row r="31" hidden="1" customHeight="1">
      <c r="A31" s="21" t="n">
        <v>11</v>
      </c>
      <c r="B31" s="22">
        <f>IF(11&lt;=$B$7,'Helpers'!$B$6+('Helpers'!$B$5-'Helpers'!$B$6)*(11-1)/(IF($B$7&gt;1,$B$7-1,1)),0)</f>
        <v/>
      </c>
      <c r="C31" s="18">
        <f>IF(11&lt;=$B$7,EXP(2-2*(11-1)/(IF($B$7&gt;1,$B$7-1,1))),0)</f>
        <v/>
      </c>
      <c r="D31" s="18">
        <f>IF(11&lt;=$B$7,IF(SUM(C21:C40)&gt;0,C31/SUM(C21:C40),0),0)</f>
        <v/>
      </c>
      <c r="E31" s="19">
        <f>IF(11&lt;=$B$7,IF(ISNUMBER(D31),$B$4*D31,0),0)</f>
        <v/>
      </c>
      <c r="F31" s="22">
        <f>IF(11&lt;=$B$7,IF(AND(ISNUMBER(E31),SUM(E21:E40)&gt;0),E31*($B$4/SUM(E21:E40)),0),0)</f>
        <v/>
      </c>
      <c r="G31" s="23">
        <f>IF(11&lt;=$B$7,IF(B31&gt;0,F31/B31,0),0)</f>
        <v/>
      </c>
      <c r="H31" s="22">
        <f>IF(11&lt;=$B$7,F31+H30,0)</f>
        <v/>
      </c>
      <c r="I31" s="23">
        <f>IF(11&lt;=$B$7,G31+I30,0)</f>
        <v/>
      </c>
      <c r="J31" s="22">
        <f>IF(11&lt;=$B$7,IF(I31&gt;0,H31/I31,0),0)</f>
        <v/>
      </c>
    </row>
    <row r="32" hidden="1" customHeight="1">
      <c r="A32" s="21" t="n">
        <v>12</v>
      </c>
      <c r="B32" s="22">
        <f>IF(12&lt;=$B$7,'Helpers'!$B$6+('Helpers'!$B$5-'Helpers'!$B$6)*(12-1)/(IF($B$7&gt;1,$B$7-1,1)),0)</f>
        <v/>
      </c>
      <c r="C32" s="18">
        <f>IF(12&lt;=$B$7,EXP(2-2*(12-1)/(IF($B$7&gt;1,$B$7-1,1))),0)</f>
        <v/>
      </c>
      <c r="D32" s="18">
        <f>IF(12&lt;=$B$7,IF(SUM(C21:C40)&gt;0,C32/SUM(C21:C40),0),0)</f>
        <v/>
      </c>
      <c r="E32" s="19">
        <f>IF(12&lt;=$B$7,IF(ISNUMBER(D32),$B$4*D32,0),0)</f>
        <v/>
      </c>
      <c r="F32" s="22">
        <f>IF(12&lt;=$B$7,IF(AND(ISNUMBER(E32),SUM(E21:E40)&gt;0),E32*($B$4/SUM(E21:E40)),0),0)</f>
        <v/>
      </c>
      <c r="G32" s="23">
        <f>IF(12&lt;=$B$7,IF(B32&gt;0,F32/B32,0),0)</f>
        <v/>
      </c>
      <c r="H32" s="22">
        <f>IF(12&lt;=$B$7,F32+H31,0)</f>
        <v/>
      </c>
      <c r="I32" s="23">
        <f>IF(12&lt;=$B$7,G32+I31,0)</f>
        <v/>
      </c>
      <c r="J32" s="22">
        <f>IF(12&lt;=$B$7,IF(I32&gt;0,H32/I32,0),0)</f>
        <v/>
      </c>
    </row>
    <row r="33" hidden="1" customHeight="1">
      <c r="A33" s="21" t="n">
        <v>13</v>
      </c>
      <c r="B33" s="22">
        <f>IF(13&lt;=$B$7,'Helpers'!$B$6+('Helpers'!$B$5-'Helpers'!$B$6)*(13-1)/(IF($B$7&gt;1,$B$7-1,1)),0)</f>
        <v/>
      </c>
      <c r="C33" s="18">
        <f>IF(13&lt;=$B$7,EXP(2-2*(13-1)/(IF($B$7&gt;1,$B$7-1,1))),0)</f>
        <v/>
      </c>
      <c r="D33" s="18">
        <f>IF(13&lt;=$B$7,IF(SUM(C21:C40)&gt;0,C33/SUM(C21:C40),0),0)</f>
        <v/>
      </c>
      <c r="E33" s="19">
        <f>IF(13&lt;=$B$7,IF(ISNUMBER(D33),$B$4*D33,0),0)</f>
        <v/>
      </c>
      <c r="F33" s="22">
        <f>IF(13&lt;=$B$7,IF(AND(ISNUMBER(E33),SUM(E21:E40)&gt;0),E33*($B$4/SUM(E21:E40)),0),0)</f>
        <v/>
      </c>
      <c r="G33" s="23">
        <f>IF(13&lt;=$B$7,IF(B33&gt;0,F33/B33,0),0)</f>
        <v/>
      </c>
      <c r="H33" s="22">
        <f>IF(13&lt;=$B$7,F33+H32,0)</f>
        <v/>
      </c>
      <c r="I33" s="23">
        <f>IF(13&lt;=$B$7,G33+I32,0)</f>
        <v/>
      </c>
      <c r="J33" s="22">
        <f>IF(13&lt;=$B$7,IF(I33&gt;0,H33/I33,0),0)</f>
        <v/>
      </c>
    </row>
    <row r="34" hidden="1" customHeight="1">
      <c r="A34" s="21" t="n">
        <v>14</v>
      </c>
      <c r="B34" s="22">
        <f>IF(14&lt;=$B$7,'Helpers'!$B$6+('Helpers'!$B$5-'Helpers'!$B$6)*(14-1)/(IF($B$7&gt;1,$B$7-1,1)),0)</f>
        <v/>
      </c>
      <c r="C34" s="18">
        <f>IF(14&lt;=$B$7,EXP(2-2*(14-1)/(IF($B$7&gt;1,$B$7-1,1))),0)</f>
        <v/>
      </c>
      <c r="D34" s="18">
        <f>IF(14&lt;=$B$7,IF(SUM(C21:C40)&gt;0,C34/SUM(C21:C40),0),0)</f>
        <v/>
      </c>
      <c r="E34" s="19">
        <f>IF(14&lt;=$B$7,IF(ISNUMBER(D34),$B$4*D34,0),0)</f>
        <v/>
      </c>
      <c r="F34" s="22">
        <f>IF(14&lt;=$B$7,IF(AND(ISNUMBER(E34),SUM(E21:E40)&gt;0),E34*($B$4/SUM(E21:E40)),0),0)</f>
        <v/>
      </c>
      <c r="G34" s="23">
        <f>IF(14&lt;=$B$7,IF(B34&gt;0,F34/B34,0),0)</f>
        <v/>
      </c>
      <c r="H34" s="22">
        <f>IF(14&lt;=$B$7,F34+H33,0)</f>
        <v/>
      </c>
      <c r="I34" s="23">
        <f>IF(14&lt;=$B$7,G34+I33,0)</f>
        <v/>
      </c>
      <c r="J34" s="22">
        <f>IF(14&lt;=$B$7,IF(I34&gt;0,H34/I34,0),0)</f>
        <v/>
      </c>
    </row>
    <row r="35" hidden="1" customHeight="1">
      <c r="A35" s="21" t="n">
        <v>15</v>
      </c>
      <c r="B35" s="22">
        <f>IF(15&lt;=$B$7,'Helpers'!$B$6+('Helpers'!$B$5-'Helpers'!$B$6)*(15-1)/(IF($B$7&gt;1,$B$7-1,1)),0)</f>
        <v/>
      </c>
      <c r="C35" s="18">
        <f>IF(15&lt;=$B$7,EXP(2-2*(15-1)/(IF($B$7&gt;1,$B$7-1,1))),0)</f>
        <v/>
      </c>
      <c r="D35" s="18">
        <f>IF(15&lt;=$B$7,IF(SUM(C21:C40)&gt;0,C35/SUM(C21:C40),0),0)</f>
        <v/>
      </c>
      <c r="E35" s="19">
        <f>IF(15&lt;=$B$7,IF(ISNUMBER(D35),$B$4*D35,0),0)</f>
        <v/>
      </c>
      <c r="F35" s="22">
        <f>IF(15&lt;=$B$7,IF(AND(ISNUMBER(E35),SUM(E21:E40)&gt;0),E35*($B$4/SUM(E21:E40)),0),0)</f>
        <v/>
      </c>
      <c r="G35" s="23">
        <f>IF(15&lt;=$B$7,IF(B35&gt;0,F35/B35,0),0)</f>
        <v/>
      </c>
      <c r="H35" s="22">
        <f>IF(15&lt;=$B$7,F35+H34,0)</f>
        <v/>
      </c>
      <c r="I35" s="23">
        <f>IF(15&lt;=$B$7,G35+I34,0)</f>
        <v/>
      </c>
      <c r="J35" s="22">
        <f>IF(15&lt;=$B$7,IF(I35&gt;0,H35/I35,0),0)</f>
        <v/>
      </c>
    </row>
    <row r="36" hidden="1" customHeight="1">
      <c r="A36" s="21" t="n">
        <v>16</v>
      </c>
      <c r="B36" s="22">
        <f>IF(16&lt;=$B$7,'Helpers'!$B$6+('Helpers'!$B$5-'Helpers'!$B$6)*(16-1)/(IF($B$7&gt;1,$B$7-1,1)),0)</f>
        <v/>
      </c>
      <c r="C36" s="18">
        <f>IF(16&lt;=$B$7,EXP(2-2*(16-1)/(IF($B$7&gt;1,$B$7-1,1))),0)</f>
        <v/>
      </c>
      <c r="D36" s="18">
        <f>IF(16&lt;=$B$7,IF(SUM(C21:C40)&gt;0,C36/SUM(C21:C40),0),0)</f>
        <v/>
      </c>
      <c r="E36" s="19">
        <f>IF(16&lt;=$B$7,IF(ISNUMBER(D36),$B$4*D36,0),0)</f>
        <v/>
      </c>
      <c r="F36" s="22">
        <f>IF(16&lt;=$B$7,IF(AND(ISNUMBER(E36),SUM(E21:E40)&gt;0),E36*($B$4/SUM(E21:E40)),0),0)</f>
        <v/>
      </c>
      <c r="G36" s="23">
        <f>IF(16&lt;=$B$7,IF(B36&gt;0,F36/B36,0),0)</f>
        <v/>
      </c>
      <c r="H36" s="22">
        <f>IF(16&lt;=$B$7,F36+H35,0)</f>
        <v/>
      </c>
      <c r="I36" s="23">
        <f>IF(16&lt;=$B$7,G36+I35,0)</f>
        <v/>
      </c>
      <c r="J36" s="22">
        <f>IF(16&lt;=$B$7,IF(I36&gt;0,H36/I36,0),0)</f>
        <v/>
      </c>
    </row>
    <row r="37" hidden="1" customHeight="1">
      <c r="A37" s="21" t="n">
        <v>17</v>
      </c>
      <c r="B37" s="22">
        <f>IF(17&lt;=$B$7,'Helpers'!$B$6+('Helpers'!$B$5-'Helpers'!$B$6)*(17-1)/(IF($B$7&gt;1,$B$7-1,1)),0)</f>
        <v/>
      </c>
      <c r="C37" s="18">
        <f>IF(17&lt;=$B$7,EXP(2-2*(17-1)/(IF($B$7&gt;1,$B$7-1,1))),0)</f>
        <v/>
      </c>
      <c r="D37" s="18">
        <f>IF(17&lt;=$B$7,IF(SUM(C21:C40)&gt;0,C37/SUM(C21:C40),0),0)</f>
        <v/>
      </c>
      <c r="E37" s="19">
        <f>IF(17&lt;=$B$7,IF(ISNUMBER(D37),$B$4*D37,0),0)</f>
        <v/>
      </c>
      <c r="F37" s="22">
        <f>IF(17&lt;=$B$7,IF(AND(ISNUMBER(E37),SUM(E21:E40)&gt;0),E37*($B$4/SUM(E21:E40)),0),0)</f>
        <v/>
      </c>
      <c r="G37" s="23">
        <f>IF(17&lt;=$B$7,IF(B37&gt;0,F37/B37,0),0)</f>
        <v/>
      </c>
      <c r="H37" s="22">
        <f>IF(17&lt;=$B$7,F37+H36,0)</f>
        <v/>
      </c>
      <c r="I37" s="23">
        <f>IF(17&lt;=$B$7,G37+I36,0)</f>
        <v/>
      </c>
      <c r="J37" s="22">
        <f>IF(17&lt;=$B$7,IF(I37&gt;0,H37/I37,0),0)</f>
        <v/>
      </c>
    </row>
    <row r="38" hidden="1" customHeight="1">
      <c r="A38" s="21" t="n">
        <v>18</v>
      </c>
      <c r="B38" s="22">
        <f>IF(18&lt;=$B$7,'Helpers'!$B$6+('Helpers'!$B$5-'Helpers'!$B$6)*(18-1)/(IF($B$7&gt;1,$B$7-1,1)),0)</f>
        <v/>
      </c>
      <c r="C38" s="18">
        <f>IF(18&lt;=$B$7,EXP(2-2*(18-1)/(IF($B$7&gt;1,$B$7-1,1))),0)</f>
        <v/>
      </c>
      <c r="D38" s="18">
        <f>IF(18&lt;=$B$7,IF(SUM(C21:C40)&gt;0,C38/SUM(C21:C40),0),0)</f>
        <v/>
      </c>
      <c r="E38" s="19">
        <f>IF(18&lt;=$B$7,IF(ISNUMBER(D38),$B$4*D38,0),0)</f>
        <v/>
      </c>
      <c r="F38" s="22">
        <f>IF(18&lt;=$B$7,IF(AND(ISNUMBER(E38),SUM(E21:E40)&gt;0),E38*($B$4/SUM(E21:E40)),0),0)</f>
        <v/>
      </c>
      <c r="G38" s="23">
        <f>IF(18&lt;=$B$7,IF(B38&gt;0,F38/B38,0),0)</f>
        <v/>
      </c>
      <c r="H38" s="22">
        <f>IF(18&lt;=$B$7,F38+H37,0)</f>
        <v/>
      </c>
      <c r="I38" s="23">
        <f>IF(18&lt;=$B$7,G38+I37,0)</f>
        <v/>
      </c>
      <c r="J38" s="22">
        <f>IF(18&lt;=$B$7,IF(I38&gt;0,H38/I38,0),0)</f>
        <v/>
      </c>
    </row>
    <row r="39" hidden="1" customHeight="1">
      <c r="A39" s="21" t="n">
        <v>19</v>
      </c>
      <c r="B39" s="22">
        <f>IF(19&lt;=$B$7,'Helpers'!$B$6+('Helpers'!$B$5-'Helpers'!$B$6)*(19-1)/(IF($B$7&gt;1,$B$7-1,1)),0)</f>
        <v/>
      </c>
      <c r="C39" s="18">
        <f>IF(19&lt;=$B$7,EXP(2-2*(19-1)/(IF($B$7&gt;1,$B$7-1,1))),0)</f>
        <v/>
      </c>
      <c r="D39" s="18">
        <f>IF(19&lt;=$B$7,IF(SUM(C21:C40)&gt;0,C39/SUM(C21:C40),0),0)</f>
        <v/>
      </c>
      <c r="E39" s="19">
        <f>IF(19&lt;=$B$7,IF(ISNUMBER(D39),$B$4*D39,0),0)</f>
        <v/>
      </c>
      <c r="F39" s="22">
        <f>IF(19&lt;=$B$7,IF(AND(ISNUMBER(E39),SUM(E21:E40)&gt;0),E39*($B$4/SUM(E21:E40)),0),0)</f>
        <v/>
      </c>
      <c r="G39" s="23">
        <f>IF(19&lt;=$B$7,IF(B39&gt;0,F39/B39,0),0)</f>
        <v/>
      </c>
      <c r="H39" s="22">
        <f>IF(19&lt;=$B$7,F39+H38,0)</f>
        <v/>
      </c>
      <c r="I39" s="23">
        <f>IF(19&lt;=$B$7,G39+I38,0)</f>
        <v/>
      </c>
      <c r="J39" s="22">
        <f>IF(19&lt;=$B$7,IF(I39&gt;0,H39/I39,0),0)</f>
        <v/>
      </c>
    </row>
    <row r="40" hidden="1" customHeight="1">
      <c r="A40" s="21" t="n">
        <v>20</v>
      </c>
      <c r="B40" s="22">
        <f>IF(20&lt;=$B$7,'Helpers'!$B$6+('Helpers'!$B$5-'Helpers'!$B$6)*(20-1)/(IF($B$7&gt;1,$B$7-1,1)),0)</f>
        <v/>
      </c>
      <c r="C40" s="18">
        <f>IF(20&lt;=$B$7,EXP(2-2*(20-1)/(IF($B$7&gt;1,$B$7-1,1))),0)</f>
        <v/>
      </c>
      <c r="D40" s="18">
        <f>IF(20&lt;=$B$7,IF(SUM(C21:C40)&gt;0,C40/SUM(C21:C40),0),0)</f>
        <v/>
      </c>
      <c r="E40" s="19">
        <f>IF(20&lt;=$B$7,IF(ISNUMBER(D40),$B$4*D40,0),0)</f>
        <v/>
      </c>
      <c r="F40" s="22">
        <f>IF(20&lt;=$B$7,IF(AND(ISNUMBER(E40),SUM(E21:E40)&gt;0),E40*($B$4/SUM(E21:E40)),0),0)</f>
        <v/>
      </c>
      <c r="G40" s="23">
        <f>IF(20&lt;=$B$7,IF(B40&gt;0,F40/B40,0),0)</f>
        <v/>
      </c>
      <c r="H40" s="22">
        <f>IF(20&lt;=$B$7,F40+H39,0)</f>
        <v/>
      </c>
      <c r="I40" s="23">
        <f>IF(20&lt;=$B$7,G40+I39,0)</f>
        <v/>
      </c>
      <c r="J40" s="22">
        <f>IF(20&lt;=$B$7,IF(I40&gt;0,H40/I40,0),0)</f>
        <v/>
      </c>
    </row>
    <row r="41"/>
    <row r="42"/>
    <row r="43"/>
    <row r="44"/>
    <row r="45" ht="22" customHeight="1">
      <c r="A45" s="24" t="inlineStr">
        <is>
          <t>SELL ORDERS</t>
        </is>
      </c>
    </row>
    <row r="46">
      <c r="A46" s="25" t="n">
        <v>1</v>
      </c>
      <c r="B46" s="19">
        <f>IF(1&lt;=$B$7,'Helpers'!$B$10+'Helpers'!$B$7*(1-1),0)</f>
        <v/>
      </c>
      <c r="C46" s="26">
        <f>IF(1&lt;=$B$7,MAX(B46*'Helpers'!$B$19,'Helpers'!$B$20+'Helpers'!$B$7*(1-1)),0)</f>
        <v/>
      </c>
      <c r="D46" s="18">
        <f>IF(1&lt;=$B$7,EXP(2*(1-1)/(IF($B$7&gt;1,$B$7-1,1))),0)</f>
        <v/>
      </c>
      <c r="E46" s="18">
        <f>IF(1&lt;=$B$7,IF(SUM(D46:D65)&gt;0,D46/SUM(D46:D65),0),0)</f>
        <v/>
      </c>
      <c r="F46" s="18">
        <f>IF(1&lt;=$B$7,'Helpers'!$B$13*E46,0)</f>
        <v/>
      </c>
      <c r="G46" s="27">
        <f>IF(1&lt;=$B$7,IF(AND(ISNUMBER(F46),SUM(F46:F65)&gt;0,'Helpers'!$B$13&gt;0),F46*('Helpers'!$B$13/SUM(F46:F65)),0),0)</f>
        <v/>
      </c>
      <c r="H46" s="26">
        <f>IF(1&lt;=$B$7,C46*G46,0)</f>
        <v/>
      </c>
      <c r="I46" s="26">
        <f>H46</f>
        <v/>
      </c>
      <c r="J46" s="27">
        <f>G46</f>
        <v/>
      </c>
      <c r="K46" s="26">
        <f>IF(1&lt;=$B$7,IF(J46&gt;0,I46/J46,0),0)</f>
        <v/>
      </c>
    </row>
    <row r="47">
      <c r="A47" s="28" t="n">
        <v>2</v>
      </c>
      <c r="B47" s="19">
        <f>IF(2&lt;=$B$7,'Helpers'!$B$10+'Helpers'!$B$7*(2-1),0)</f>
        <v/>
      </c>
      <c r="C47" s="29">
        <f>IF(2&lt;=$B$7,MAX(B47*'Helpers'!$B$19,'Helpers'!$B$20+'Helpers'!$B$7*(2-1)),0)</f>
        <v/>
      </c>
      <c r="D47" s="18">
        <f>IF(2&lt;=$B$7,EXP(2*(2-1)/(IF($B$7&gt;1,$B$7-1,1))),0)</f>
        <v/>
      </c>
      <c r="E47" s="18">
        <f>IF(2&lt;=$B$7,IF(SUM(D46:D65)&gt;0,D47/SUM(D46:D65),0),0)</f>
        <v/>
      </c>
      <c r="F47" s="18">
        <f>IF(2&lt;=$B$7,'Helpers'!$B$13*E47,0)</f>
        <v/>
      </c>
      <c r="G47" s="30">
        <f>IF(2&lt;=$B$7,IF(AND(ISNUMBER(F47),SUM(F46:F65)&gt;0,'Helpers'!$B$13&gt;0),F47*('Helpers'!$B$13/SUM(F46:F65)),0),0)</f>
        <v/>
      </c>
      <c r="H47" s="29">
        <f>IF(2&lt;=$B$7,C47*G47,0)</f>
        <v/>
      </c>
      <c r="I47" s="29">
        <f>IF(2&lt;=$B$7,H47+I46,0)</f>
        <v/>
      </c>
      <c r="J47" s="30">
        <f>IF(2&lt;=$B$7,G47+J46,0)</f>
        <v/>
      </c>
      <c r="K47" s="29">
        <f>IF(2&lt;=$B$7,IF(J47&gt;0,I47/J47,0),0)</f>
        <v/>
      </c>
    </row>
    <row r="48">
      <c r="A48" s="28" t="n">
        <v>3</v>
      </c>
      <c r="B48" s="19">
        <f>IF(3&lt;=$B$7,'Helpers'!$B$10+'Helpers'!$B$7*(3-1),0)</f>
        <v/>
      </c>
      <c r="C48" s="29">
        <f>IF(3&lt;=$B$7,MAX(B48*'Helpers'!$B$19,'Helpers'!$B$20+'Helpers'!$B$7*(3-1)),0)</f>
        <v/>
      </c>
      <c r="D48" s="18">
        <f>IF(3&lt;=$B$7,EXP(2*(3-1)/(IF($B$7&gt;1,$B$7-1,1))),0)</f>
        <v/>
      </c>
      <c r="E48" s="18">
        <f>IF(3&lt;=$B$7,IF(SUM(D46:D65)&gt;0,D48/SUM(D46:D65),0),0)</f>
        <v/>
      </c>
      <c r="F48" s="18">
        <f>IF(3&lt;=$B$7,'Helpers'!$B$13*E48,0)</f>
        <v/>
      </c>
      <c r="G48" s="30">
        <f>IF(3&lt;=$B$7,IF(AND(ISNUMBER(F48),SUM(F46:F65)&gt;0,'Helpers'!$B$13&gt;0),F48*('Helpers'!$B$13/SUM(F46:F65)),0),0)</f>
        <v/>
      </c>
      <c r="H48" s="29">
        <f>IF(3&lt;=$B$7,C48*G48,0)</f>
        <v/>
      </c>
      <c r="I48" s="29">
        <f>IF(3&lt;=$B$7,H48+I47,0)</f>
        <v/>
      </c>
      <c r="J48" s="30">
        <f>IF(3&lt;=$B$7,G48+J47,0)</f>
        <v/>
      </c>
      <c r="K48" s="29">
        <f>IF(3&lt;=$B$7,IF(J48&gt;0,I48/J48,0),0)</f>
        <v/>
      </c>
    </row>
    <row r="49">
      <c r="A49" s="28" t="n">
        <v>4</v>
      </c>
      <c r="B49" s="19">
        <f>IF(4&lt;=$B$7,'Helpers'!$B$10+'Helpers'!$B$7*(4-1),0)</f>
        <v/>
      </c>
      <c r="C49" s="29">
        <f>IF(4&lt;=$B$7,MAX(B49*'Helpers'!$B$19,'Helpers'!$B$20+'Helpers'!$B$7*(4-1)),0)</f>
        <v/>
      </c>
      <c r="D49" s="18">
        <f>IF(4&lt;=$B$7,EXP(2*(4-1)/(IF($B$7&gt;1,$B$7-1,1))),0)</f>
        <v/>
      </c>
      <c r="E49" s="18">
        <f>IF(4&lt;=$B$7,IF(SUM(D46:D65)&gt;0,D49/SUM(D46:D65),0),0)</f>
        <v/>
      </c>
      <c r="F49" s="18">
        <f>IF(4&lt;=$B$7,'Helpers'!$B$13*E49,0)</f>
        <v/>
      </c>
      <c r="G49" s="30">
        <f>IF(4&lt;=$B$7,IF(AND(ISNUMBER(F49),SUM(F46:F65)&gt;0,'Helpers'!$B$13&gt;0),F49*('Helpers'!$B$13/SUM(F46:F65)),0),0)</f>
        <v/>
      </c>
      <c r="H49" s="29">
        <f>IF(4&lt;=$B$7,C49*G49,0)</f>
        <v/>
      </c>
      <c r="I49" s="29">
        <f>IF(4&lt;=$B$7,H49+I48,0)</f>
        <v/>
      </c>
      <c r="J49" s="30">
        <f>IF(4&lt;=$B$7,G49+J48,0)</f>
        <v/>
      </c>
      <c r="K49" s="29">
        <f>IF(4&lt;=$B$7,IF(J49&gt;0,I49/J49,0),0)</f>
        <v/>
      </c>
    </row>
    <row r="50">
      <c r="A50" s="28" t="n">
        <v>5</v>
      </c>
      <c r="B50" s="19">
        <f>IF(5&lt;=$B$7,'Helpers'!$B$10+'Helpers'!$B$7*(5-1),0)</f>
        <v/>
      </c>
      <c r="C50" s="29">
        <f>IF(5&lt;=$B$7,MAX(B50*'Helpers'!$B$19,'Helpers'!$B$20+'Helpers'!$B$7*(5-1)),0)</f>
        <v/>
      </c>
      <c r="D50" s="18">
        <f>IF(5&lt;=$B$7,EXP(2*(5-1)/(IF($B$7&gt;1,$B$7-1,1))),0)</f>
        <v/>
      </c>
      <c r="E50" s="18">
        <f>IF(5&lt;=$B$7,IF(SUM(D46:D65)&gt;0,D50/SUM(D46:D65),0),0)</f>
        <v/>
      </c>
      <c r="F50" s="18">
        <f>IF(5&lt;=$B$7,'Helpers'!$B$13*E50,0)</f>
        <v/>
      </c>
      <c r="G50" s="30">
        <f>IF(5&lt;=$B$7,IF(AND(ISNUMBER(F50),SUM(F46:F65)&gt;0,'Helpers'!$B$13&gt;0),F50*('Helpers'!$B$13/SUM(F46:F65)),0),0)</f>
        <v/>
      </c>
      <c r="H50" s="29">
        <f>IF(5&lt;=$B$7,C50*G50,0)</f>
        <v/>
      </c>
      <c r="I50" s="29">
        <f>IF(5&lt;=$B$7,H50+I49,0)</f>
        <v/>
      </c>
      <c r="J50" s="30">
        <f>IF(5&lt;=$B$7,G50+J49,0)</f>
        <v/>
      </c>
      <c r="K50" s="29">
        <f>IF(5&lt;=$B$7,IF(J50&gt;0,I50/J50,0),0)</f>
        <v/>
      </c>
    </row>
    <row r="51">
      <c r="A51" s="28" t="n">
        <v>6</v>
      </c>
      <c r="B51" s="19">
        <f>IF(6&lt;=$B$7,'Helpers'!$B$10+'Helpers'!$B$7*(6-1),0)</f>
        <v/>
      </c>
      <c r="C51" s="29">
        <f>IF(6&lt;=$B$7,MAX(B51*'Helpers'!$B$19,'Helpers'!$B$20+'Helpers'!$B$7*(6-1)),0)</f>
        <v/>
      </c>
      <c r="D51" s="18">
        <f>IF(6&lt;=$B$7,EXP(2*(6-1)/(IF($B$7&gt;1,$B$7-1,1))),0)</f>
        <v/>
      </c>
      <c r="E51" s="18">
        <f>IF(6&lt;=$B$7,IF(SUM(D46:D65)&gt;0,D51/SUM(D46:D65),0),0)</f>
        <v/>
      </c>
      <c r="F51" s="18">
        <f>IF(6&lt;=$B$7,'Helpers'!$B$13*E51,0)</f>
        <v/>
      </c>
      <c r="G51" s="30">
        <f>IF(6&lt;=$B$7,IF(AND(ISNUMBER(F51),SUM(F46:F65)&gt;0,'Helpers'!$B$13&gt;0),F51*('Helpers'!$B$13/SUM(F46:F65)),0),0)</f>
        <v/>
      </c>
      <c r="H51" s="29">
        <f>IF(6&lt;=$B$7,C51*G51,0)</f>
        <v/>
      </c>
      <c r="I51" s="29">
        <f>IF(6&lt;=$B$7,H51+I50,0)</f>
        <v/>
      </c>
      <c r="J51" s="30">
        <f>IF(6&lt;=$B$7,G51+J50,0)</f>
        <v/>
      </c>
      <c r="K51" s="29">
        <f>IF(6&lt;=$B$7,IF(J51&gt;0,I51/J51,0),0)</f>
        <v/>
      </c>
    </row>
    <row r="52">
      <c r="A52" s="28" t="n">
        <v>7</v>
      </c>
      <c r="B52" s="19">
        <f>IF(7&lt;=$B$7,'Helpers'!$B$10+'Helpers'!$B$7*(7-1),0)</f>
        <v/>
      </c>
      <c r="C52" s="29">
        <f>IF(7&lt;=$B$7,MAX(B52*'Helpers'!$B$19,'Helpers'!$B$20+'Helpers'!$B$7*(7-1)),0)</f>
        <v/>
      </c>
      <c r="D52" s="18">
        <f>IF(7&lt;=$B$7,EXP(2*(7-1)/(IF($B$7&gt;1,$B$7-1,1))),0)</f>
        <v/>
      </c>
      <c r="E52" s="18">
        <f>IF(7&lt;=$B$7,IF(SUM(D46:D65)&gt;0,D52/SUM(D46:D65),0),0)</f>
        <v/>
      </c>
      <c r="F52" s="18">
        <f>IF(7&lt;=$B$7,'Helpers'!$B$13*E52,0)</f>
        <v/>
      </c>
      <c r="G52" s="30">
        <f>IF(7&lt;=$B$7,IF(AND(ISNUMBER(F52),SUM(F46:F65)&gt;0,'Helpers'!$B$13&gt;0),F52*('Helpers'!$B$13/SUM(F46:F65)),0),0)</f>
        <v/>
      </c>
      <c r="H52" s="29">
        <f>IF(7&lt;=$B$7,C52*G52,0)</f>
        <v/>
      </c>
      <c r="I52" s="29">
        <f>IF(7&lt;=$B$7,H52+I51,0)</f>
        <v/>
      </c>
      <c r="J52" s="30">
        <f>IF(7&lt;=$B$7,G52+J51,0)</f>
        <v/>
      </c>
      <c r="K52" s="29">
        <f>IF(7&lt;=$B$7,IF(J52&gt;0,I52/J52,0),0)</f>
        <v/>
      </c>
    </row>
    <row r="53">
      <c r="A53" s="28" t="n">
        <v>8</v>
      </c>
      <c r="B53" s="19">
        <f>IF(8&lt;=$B$7,'Helpers'!$B$10+'Helpers'!$B$7*(8-1),0)</f>
        <v/>
      </c>
      <c r="C53" s="29">
        <f>IF(8&lt;=$B$7,MAX(B53*'Helpers'!$B$19,'Helpers'!$B$20+'Helpers'!$B$7*(8-1)),0)</f>
        <v/>
      </c>
      <c r="D53" s="18">
        <f>IF(8&lt;=$B$7,EXP(2*(8-1)/(IF($B$7&gt;1,$B$7-1,1))),0)</f>
        <v/>
      </c>
      <c r="E53" s="18">
        <f>IF(8&lt;=$B$7,IF(SUM(D46:D65)&gt;0,D53/SUM(D46:D65),0),0)</f>
        <v/>
      </c>
      <c r="F53" s="18">
        <f>IF(8&lt;=$B$7,'Helpers'!$B$13*E53,0)</f>
        <v/>
      </c>
      <c r="G53" s="30">
        <f>IF(8&lt;=$B$7,IF(AND(ISNUMBER(F53),SUM(F46:F65)&gt;0,'Helpers'!$B$13&gt;0),F53*('Helpers'!$B$13/SUM(F46:F65)),0),0)</f>
        <v/>
      </c>
      <c r="H53" s="29">
        <f>IF(8&lt;=$B$7,C53*G53,0)</f>
        <v/>
      </c>
      <c r="I53" s="29">
        <f>IF(8&lt;=$B$7,H53+I52,0)</f>
        <v/>
      </c>
      <c r="J53" s="30">
        <f>IF(8&lt;=$B$7,G53+J52,0)</f>
        <v/>
      </c>
      <c r="K53" s="29">
        <f>IF(8&lt;=$B$7,IF(J53&gt;0,I53/J53,0),0)</f>
        <v/>
      </c>
    </row>
    <row r="54">
      <c r="A54" s="28" t="n">
        <v>9</v>
      </c>
      <c r="B54" s="19">
        <f>IF(9&lt;=$B$7,'Helpers'!$B$10+'Helpers'!$B$7*(9-1),0)</f>
        <v/>
      </c>
      <c r="C54" s="29">
        <f>IF(9&lt;=$B$7,MAX(B54*'Helpers'!$B$19,'Helpers'!$B$20+'Helpers'!$B$7*(9-1)),0)</f>
        <v/>
      </c>
      <c r="D54" s="18">
        <f>IF(9&lt;=$B$7,EXP(2*(9-1)/(IF($B$7&gt;1,$B$7-1,1))),0)</f>
        <v/>
      </c>
      <c r="E54" s="18">
        <f>IF(9&lt;=$B$7,IF(SUM(D46:D65)&gt;0,D54/SUM(D46:D65),0),0)</f>
        <v/>
      </c>
      <c r="F54" s="18">
        <f>IF(9&lt;=$B$7,'Helpers'!$B$13*E54,0)</f>
        <v/>
      </c>
      <c r="G54" s="30">
        <f>IF(9&lt;=$B$7,IF(AND(ISNUMBER(F54),SUM(F46:F65)&gt;0,'Helpers'!$B$13&gt;0),F54*('Helpers'!$B$13/SUM(F46:F65)),0),0)</f>
        <v/>
      </c>
      <c r="H54" s="29">
        <f>IF(9&lt;=$B$7,C54*G54,0)</f>
        <v/>
      </c>
      <c r="I54" s="29">
        <f>IF(9&lt;=$B$7,H54+I53,0)</f>
        <v/>
      </c>
      <c r="J54" s="30">
        <f>IF(9&lt;=$B$7,G54+J53,0)</f>
        <v/>
      </c>
      <c r="K54" s="29">
        <f>IF(9&lt;=$B$7,IF(J54&gt;0,I54/J54,0),0)</f>
        <v/>
      </c>
    </row>
    <row r="55">
      <c r="A55" s="28" t="n">
        <v>10</v>
      </c>
      <c r="B55" s="19">
        <f>IF(10&lt;=$B$7,'Helpers'!$B$10+'Helpers'!$B$7*(10-1),0)</f>
        <v/>
      </c>
      <c r="C55" s="29">
        <f>IF(10&lt;=$B$7,MAX(B55*'Helpers'!$B$19,'Helpers'!$B$20+'Helpers'!$B$7*(10-1)),0)</f>
        <v/>
      </c>
      <c r="D55" s="18">
        <f>IF(10&lt;=$B$7,EXP(2*(10-1)/(IF($B$7&gt;1,$B$7-1,1))),0)</f>
        <v/>
      </c>
      <c r="E55" s="18">
        <f>IF(10&lt;=$B$7,IF(SUM(D46:D65)&gt;0,D55/SUM(D46:D65),0),0)</f>
        <v/>
      </c>
      <c r="F55" s="18">
        <f>IF(10&lt;=$B$7,'Helpers'!$B$13*E55,0)</f>
        <v/>
      </c>
      <c r="G55" s="30">
        <f>IF(10&lt;=$B$7,IF(AND(ISNUMBER(F55),SUM(F46:F65)&gt;0,'Helpers'!$B$13&gt;0),F55*('Helpers'!$B$13/SUM(F46:F65)),0),0)</f>
        <v/>
      </c>
      <c r="H55" s="29">
        <f>IF(10&lt;=$B$7,C55*G55,0)</f>
        <v/>
      </c>
      <c r="I55" s="29">
        <f>IF(10&lt;=$B$7,H55+I54,0)</f>
        <v/>
      </c>
      <c r="J55" s="30">
        <f>IF(10&lt;=$B$7,G55+J54,0)</f>
        <v/>
      </c>
      <c r="K55" s="29">
        <f>IF(10&lt;=$B$7,IF(J55&gt;0,I55/J55,0),0)</f>
        <v/>
      </c>
    </row>
    <row r="56" hidden="1" customHeight="1">
      <c r="A56" s="28" t="n">
        <v>11</v>
      </c>
      <c r="B56" s="19">
        <f>IF(11&lt;=$B$7,'Helpers'!$B$10+'Helpers'!$B$7*(11-1),0)</f>
        <v/>
      </c>
      <c r="C56" s="29">
        <f>IF(11&lt;=$B$7,MAX(B56*'Helpers'!$B$19,'Helpers'!$B$20+'Helpers'!$B$7*(11-1)),0)</f>
        <v/>
      </c>
      <c r="D56" s="18">
        <f>IF(11&lt;=$B$7,EXP(2*(11-1)/(IF($B$7&gt;1,$B$7-1,1))),0)</f>
        <v/>
      </c>
      <c r="E56" s="18">
        <f>IF(11&lt;=$B$7,IF(SUM(D46:D65)&gt;0,D56/SUM(D46:D65),0),0)</f>
        <v/>
      </c>
      <c r="F56" s="18">
        <f>IF(11&lt;=$B$7,'Helpers'!$B$13*E56,0)</f>
        <v/>
      </c>
      <c r="G56" s="30">
        <f>IF(11&lt;=$B$7,IF(AND(ISNUMBER(F56),SUM(F46:F65)&gt;0,'Helpers'!$B$13&gt;0),F56*('Helpers'!$B$13/SUM(F46:F65)),0),0)</f>
        <v/>
      </c>
      <c r="H56" s="29">
        <f>IF(11&lt;=$B$7,C56*G56,0)</f>
        <v/>
      </c>
      <c r="I56" s="29">
        <f>IF(11&lt;=$B$7,H56+I55,0)</f>
        <v/>
      </c>
      <c r="J56" s="30">
        <f>IF(11&lt;=$B$7,G56+J55,0)</f>
        <v/>
      </c>
      <c r="K56" s="29">
        <f>IF(11&lt;=$B$7,IF(J56&gt;0,I56/J56,0),0)</f>
        <v/>
      </c>
    </row>
    <row r="57" hidden="1" customHeight="1">
      <c r="A57" s="28" t="n">
        <v>12</v>
      </c>
      <c r="B57" s="19">
        <f>IF(12&lt;=$B$7,'Helpers'!$B$10+'Helpers'!$B$7*(12-1),0)</f>
        <v/>
      </c>
      <c r="C57" s="29">
        <f>IF(12&lt;=$B$7,MAX(B57*'Helpers'!$B$19,'Helpers'!$B$20+'Helpers'!$B$7*(12-1)),0)</f>
        <v/>
      </c>
      <c r="D57" s="18">
        <f>IF(12&lt;=$B$7,EXP(2*(12-1)/(IF($B$7&gt;1,$B$7-1,1))),0)</f>
        <v/>
      </c>
      <c r="E57" s="18">
        <f>IF(12&lt;=$B$7,IF(SUM(D46:D65)&gt;0,D57/SUM(D46:D65),0),0)</f>
        <v/>
      </c>
      <c r="F57" s="18">
        <f>IF(12&lt;=$B$7,'Helpers'!$B$13*E57,0)</f>
        <v/>
      </c>
      <c r="G57" s="30">
        <f>IF(12&lt;=$B$7,IF(AND(ISNUMBER(F57),SUM(F46:F65)&gt;0,'Helpers'!$B$13&gt;0),F57*('Helpers'!$B$13/SUM(F46:F65)),0),0)</f>
        <v/>
      </c>
      <c r="H57" s="29">
        <f>IF(12&lt;=$B$7,C57*G57,0)</f>
        <v/>
      </c>
      <c r="I57" s="29">
        <f>IF(12&lt;=$B$7,H57+I56,0)</f>
        <v/>
      </c>
      <c r="J57" s="30">
        <f>IF(12&lt;=$B$7,G57+J56,0)</f>
        <v/>
      </c>
      <c r="K57" s="29">
        <f>IF(12&lt;=$B$7,IF(J57&gt;0,I57/J57,0),0)</f>
        <v/>
      </c>
    </row>
    <row r="58" hidden="1" customHeight="1">
      <c r="A58" s="28" t="n">
        <v>13</v>
      </c>
      <c r="B58" s="19">
        <f>IF(13&lt;=$B$7,'Helpers'!$B$10+'Helpers'!$B$7*(13-1),0)</f>
        <v/>
      </c>
      <c r="C58" s="29">
        <f>IF(13&lt;=$B$7,MAX(B58*'Helpers'!$B$19,'Helpers'!$B$20+'Helpers'!$B$7*(13-1)),0)</f>
        <v/>
      </c>
      <c r="D58" s="18">
        <f>IF(13&lt;=$B$7,EXP(2*(13-1)/(IF($B$7&gt;1,$B$7-1,1))),0)</f>
        <v/>
      </c>
      <c r="E58" s="18">
        <f>IF(13&lt;=$B$7,IF(SUM(D46:D65)&gt;0,D58/SUM(D46:D65),0),0)</f>
        <v/>
      </c>
      <c r="F58" s="18">
        <f>IF(13&lt;=$B$7,'Helpers'!$B$13*E58,0)</f>
        <v/>
      </c>
      <c r="G58" s="30">
        <f>IF(13&lt;=$B$7,IF(AND(ISNUMBER(F58),SUM(F46:F65)&gt;0,'Helpers'!$B$13&gt;0),F58*('Helpers'!$B$13/SUM(F46:F65)),0),0)</f>
        <v/>
      </c>
      <c r="H58" s="29">
        <f>IF(13&lt;=$B$7,C58*G58,0)</f>
        <v/>
      </c>
      <c r="I58" s="29">
        <f>IF(13&lt;=$B$7,H58+I57,0)</f>
        <v/>
      </c>
      <c r="J58" s="30">
        <f>IF(13&lt;=$B$7,G58+J57,0)</f>
        <v/>
      </c>
      <c r="K58" s="29">
        <f>IF(13&lt;=$B$7,IF(J58&gt;0,I58/J58,0),0)</f>
        <v/>
      </c>
    </row>
    <row r="59" hidden="1" customHeight="1">
      <c r="A59" s="28" t="n">
        <v>14</v>
      </c>
      <c r="B59" s="19">
        <f>IF(14&lt;=$B$7,'Helpers'!$B$10+'Helpers'!$B$7*(14-1),0)</f>
        <v/>
      </c>
      <c r="C59" s="29">
        <f>IF(14&lt;=$B$7,MAX(B59*'Helpers'!$B$19,'Helpers'!$B$20+'Helpers'!$B$7*(14-1)),0)</f>
        <v/>
      </c>
      <c r="D59" s="18">
        <f>IF(14&lt;=$B$7,EXP(2*(14-1)/(IF($B$7&gt;1,$B$7-1,1))),0)</f>
        <v/>
      </c>
      <c r="E59" s="18">
        <f>IF(14&lt;=$B$7,IF(SUM(D46:D65)&gt;0,D59/SUM(D46:D65),0),0)</f>
        <v/>
      </c>
      <c r="F59" s="18">
        <f>IF(14&lt;=$B$7,'Helpers'!$B$13*E59,0)</f>
        <v/>
      </c>
      <c r="G59" s="30">
        <f>IF(14&lt;=$B$7,IF(AND(ISNUMBER(F59),SUM(F46:F65)&gt;0,'Helpers'!$B$13&gt;0),F59*('Helpers'!$B$13/SUM(F46:F65)),0),0)</f>
        <v/>
      </c>
      <c r="H59" s="29">
        <f>IF(14&lt;=$B$7,C59*G59,0)</f>
        <v/>
      </c>
      <c r="I59" s="29">
        <f>IF(14&lt;=$B$7,H59+I58,0)</f>
        <v/>
      </c>
      <c r="J59" s="30">
        <f>IF(14&lt;=$B$7,G59+J58,0)</f>
        <v/>
      </c>
      <c r="K59" s="29">
        <f>IF(14&lt;=$B$7,IF(J59&gt;0,I59/J59,0),0)</f>
        <v/>
      </c>
    </row>
    <row r="60" hidden="1" customHeight="1">
      <c r="A60" s="28" t="n">
        <v>15</v>
      </c>
      <c r="B60" s="19">
        <f>IF(15&lt;=$B$7,'Helpers'!$B$10+'Helpers'!$B$7*(15-1),0)</f>
        <v/>
      </c>
      <c r="C60" s="29">
        <f>IF(15&lt;=$B$7,MAX(B60*'Helpers'!$B$19,'Helpers'!$B$20+'Helpers'!$B$7*(15-1)),0)</f>
        <v/>
      </c>
      <c r="D60" s="18">
        <f>IF(15&lt;=$B$7,EXP(2*(15-1)/(IF($B$7&gt;1,$B$7-1,1))),0)</f>
        <v/>
      </c>
      <c r="E60" s="18">
        <f>IF(15&lt;=$B$7,IF(SUM(D46:D65)&gt;0,D60/SUM(D46:D65),0),0)</f>
        <v/>
      </c>
      <c r="F60" s="18">
        <f>IF(15&lt;=$B$7,'Helpers'!$B$13*E60,0)</f>
        <v/>
      </c>
      <c r="G60" s="30">
        <f>IF(15&lt;=$B$7,IF(AND(ISNUMBER(F60),SUM(F46:F65)&gt;0,'Helpers'!$B$13&gt;0),F60*('Helpers'!$B$13/SUM(F46:F65)),0),0)</f>
        <v/>
      </c>
      <c r="H60" s="29">
        <f>IF(15&lt;=$B$7,C60*G60,0)</f>
        <v/>
      </c>
      <c r="I60" s="29">
        <f>IF(15&lt;=$B$7,H60+I59,0)</f>
        <v/>
      </c>
      <c r="J60" s="30">
        <f>IF(15&lt;=$B$7,G60+J59,0)</f>
        <v/>
      </c>
      <c r="K60" s="29">
        <f>IF(15&lt;=$B$7,IF(J60&gt;0,I60/J60,0),0)</f>
        <v/>
      </c>
    </row>
    <row r="61" hidden="1" customHeight="1">
      <c r="A61" s="28" t="n">
        <v>16</v>
      </c>
      <c r="B61" s="19">
        <f>IF(16&lt;=$B$7,'Helpers'!$B$10+'Helpers'!$B$7*(16-1),0)</f>
        <v/>
      </c>
      <c r="C61" s="29">
        <f>IF(16&lt;=$B$7,MAX(B61*'Helpers'!$B$19,'Helpers'!$B$20+'Helpers'!$B$7*(16-1)),0)</f>
        <v/>
      </c>
      <c r="D61" s="18">
        <f>IF(16&lt;=$B$7,EXP(2*(16-1)/(IF($B$7&gt;1,$B$7-1,1))),0)</f>
        <v/>
      </c>
      <c r="E61" s="18">
        <f>IF(16&lt;=$B$7,IF(SUM(D46:D65)&gt;0,D61/SUM(D46:D65),0),0)</f>
        <v/>
      </c>
      <c r="F61" s="18">
        <f>IF(16&lt;=$B$7,'Helpers'!$B$13*E61,0)</f>
        <v/>
      </c>
      <c r="G61" s="30">
        <f>IF(16&lt;=$B$7,IF(AND(ISNUMBER(F61),SUM(F46:F65)&gt;0,'Helpers'!$B$13&gt;0),F61*('Helpers'!$B$13/SUM(F46:F65)),0),0)</f>
        <v/>
      </c>
      <c r="H61" s="29">
        <f>IF(16&lt;=$B$7,C61*G61,0)</f>
        <v/>
      </c>
      <c r="I61" s="29">
        <f>IF(16&lt;=$B$7,H61+I60,0)</f>
        <v/>
      </c>
      <c r="J61" s="30">
        <f>IF(16&lt;=$B$7,G61+J60,0)</f>
        <v/>
      </c>
      <c r="K61" s="29">
        <f>IF(16&lt;=$B$7,IF(J61&gt;0,I61/J61,0),0)</f>
        <v/>
      </c>
    </row>
    <row r="62" hidden="1" customHeight="1">
      <c r="A62" s="28" t="n">
        <v>17</v>
      </c>
      <c r="B62" s="19">
        <f>IF(17&lt;=$B$7,'Helpers'!$B$10+'Helpers'!$B$7*(17-1),0)</f>
        <v/>
      </c>
      <c r="C62" s="29">
        <f>IF(17&lt;=$B$7,MAX(B62*'Helpers'!$B$19,'Helpers'!$B$20+'Helpers'!$B$7*(17-1)),0)</f>
        <v/>
      </c>
      <c r="D62" s="18">
        <f>IF(17&lt;=$B$7,EXP(2*(17-1)/(IF($B$7&gt;1,$B$7-1,1))),0)</f>
        <v/>
      </c>
      <c r="E62" s="18">
        <f>IF(17&lt;=$B$7,IF(SUM(D46:D65)&gt;0,D62/SUM(D46:D65),0),0)</f>
        <v/>
      </c>
      <c r="F62" s="18">
        <f>IF(17&lt;=$B$7,'Helpers'!$B$13*E62,0)</f>
        <v/>
      </c>
      <c r="G62" s="30">
        <f>IF(17&lt;=$B$7,IF(AND(ISNUMBER(F62),SUM(F46:F65)&gt;0,'Helpers'!$B$13&gt;0),F62*('Helpers'!$B$13/SUM(F46:F65)),0),0)</f>
        <v/>
      </c>
      <c r="H62" s="29">
        <f>IF(17&lt;=$B$7,C62*G62,0)</f>
        <v/>
      </c>
      <c r="I62" s="29">
        <f>IF(17&lt;=$B$7,H62+I61,0)</f>
        <v/>
      </c>
      <c r="J62" s="30">
        <f>IF(17&lt;=$B$7,G62+J61,0)</f>
        <v/>
      </c>
      <c r="K62" s="29">
        <f>IF(17&lt;=$B$7,IF(J62&gt;0,I62/J62,0),0)</f>
        <v/>
      </c>
    </row>
    <row r="63" hidden="1" customHeight="1">
      <c r="A63" s="28" t="n">
        <v>18</v>
      </c>
      <c r="B63" s="19">
        <f>IF(18&lt;=$B$7,'Helpers'!$B$10+'Helpers'!$B$7*(18-1),0)</f>
        <v/>
      </c>
      <c r="C63" s="29">
        <f>IF(18&lt;=$B$7,MAX(B63*'Helpers'!$B$19,'Helpers'!$B$20+'Helpers'!$B$7*(18-1)),0)</f>
        <v/>
      </c>
      <c r="D63" s="18">
        <f>IF(18&lt;=$B$7,EXP(2*(18-1)/(IF($B$7&gt;1,$B$7-1,1))),0)</f>
        <v/>
      </c>
      <c r="E63" s="18">
        <f>IF(18&lt;=$B$7,IF(SUM(D46:D65)&gt;0,D63/SUM(D46:D65),0),0)</f>
        <v/>
      </c>
      <c r="F63" s="18">
        <f>IF(18&lt;=$B$7,'Helpers'!$B$13*E63,0)</f>
        <v/>
      </c>
      <c r="G63" s="30">
        <f>IF(18&lt;=$B$7,IF(AND(ISNUMBER(F63),SUM(F46:F65)&gt;0,'Helpers'!$B$13&gt;0),F63*('Helpers'!$B$13/SUM(F46:F65)),0),0)</f>
        <v/>
      </c>
      <c r="H63" s="29">
        <f>IF(18&lt;=$B$7,C63*G63,0)</f>
        <v/>
      </c>
      <c r="I63" s="29">
        <f>IF(18&lt;=$B$7,H63+I62,0)</f>
        <v/>
      </c>
      <c r="J63" s="30">
        <f>IF(18&lt;=$B$7,G63+J62,0)</f>
        <v/>
      </c>
      <c r="K63" s="29">
        <f>IF(18&lt;=$B$7,IF(J63&gt;0,I63/J63,0),0)</f>
        <v/>
      </c>
    </row>
    <row r="64" hidden="1" customHeight="1">
      <c r="A64" s="28" t="n">
        <v>19</v>
      </c>
      <c r="B64" s="19">
        <f>IF(19&lt;=$B$7,'Helpers'!$B$10+'Helpers'!$B$7*(19-1),0)</f>
        <v/>
      </c>
      <c r="C64" s="29">
        <f>IF(19&lt;=$B$7,MAX(B64*'Helpers'!$B$19,'Helpers'!$B$20+'Helpers'!$B$7*(19-1)),0)</f>
        <v/>
      </c>
      <c r="D64" s="18">
        <f>IF(19&lt;=$B$7,EXP(2*(19-1)/(IF($B$7&gt;1,$B$7-1,1))),0)</f>
        <v/>
      </c>
      <c r="E64" s="18">
        <f>IF(19&lt;=$B$7,IF(SUM(D46:D65)&gt;0,D64/SUM(D46:D65),0),0)</f>
        <v/>
      </c>
      <c r="F64" s="18">
        <f>IF(19&lt;=$B$7,'Helpers'!$B$13*E64,0)</f>
        <v/>
      </c>
      <c r="G64" s="30">
        <f>IF(19&lt;=$B$7,IF(AND(ISNUMBER(F64),SUM(F46:F65)&gt;0,'Helpers'!$B$13&gt;0),F64*('Helpers'!$B$13/SUM(F46:F65)),0),0)</f>
        <v/>
      </c>
      <c r="H64" s="29">
        <f>IF(19&lt;=$B$7,C64*G64,0)</f>
        <v/>
      </c>
      <c r="I64" s="29">
        <f>IF(19&lt;=$B$7,H64+I63,0)</f>
        <v/>
      </c>
      <c r="J64" s="30">
        <f>IF(19&lt;=$B$7,G64+J63,0)</f>
        <v/>
      </c>
      <c r="K64" s="29">
        <f>IF(19&lt;=$B$7,IF(J64&gt;0,I64/J64,0),0)</f>
        <v/>
      </c>
    </row>
    <row r="65" hidden="1" customHeight="1">
      <c r="A65" s="28" t="n">
        <v>20</v>
      </c>
      <c r="B65" s="19">
        <f>IF(20&lt;=$B$7,'Helpers'!$B$10+'Helpers'!$B$7*(20-1),0)</f>
        <v/>
      </c>
      <c r="C65" s="29">
        <f>IF(20&lt;=$B$7,MAX(B65*'Helpers'!$B$19,'Helpers'!$B$20+'Helpers'!$B$7*(20-1)),0)</f>
        <v/>
      </c>
      <c r="D65" s="18">
        <f>IF(20&lt;=$B$7,EXP(2*(20-1)/(IF($B$7&gt;1,$B$7-1,1))),0)</f>
        <v/>
      </c>
      <c r="E65" s="18">
        <f>IF(20&lt;=$B$7,IF(SUM(D46:D65)&gt;0,D65/SUM(D46:D65),0),0)</f>
        <v/>
      </c>
      <c r="F65" s="18">
        <f>IF(20&lt;=$B$7,'Helpers'!$B$13*E65,0)</f>
        <v/>
      </c>
      <c r="G65" s="30">
        <f>IF(20&lt;=$B$7,IF(AND(ISNUMBER(F65),SUM(F46:F65)&gt;0,'Helpers'!$B$13&gt;0),F65*('Helpers'!$B$13/SUM(F46:F65)),0),0)</f>
        <v/>
      </c>
      <c r="H65" s="29">
        <f>IF(20&lt;=$B$7,C65*G65,0)</f>
        <v/>
      </c>
      <c r="I65" s="29">
        <f>IF(20&lt;=$B$7,H65+I64,0)</f>
        <v/>
      </c>
      <c r="J65" s="30">
        <f>IF(20&lt;=$B$7,G65+J64,0)</f>
        <v/>
      </c>
      <c r="K65" s="29">
        <f>IF(20&lt;=$B$7,IF(J65&gt;0,I65/J65,0),0)</f>
        <v/>
      </c>
    </row>
    <row r="71">
      <c r="A71" s="31" t="inlineStr">
        <is>
          <t>INSTRUCTIONS</t>
        </is>
      </c>
    </row>
    <row r="72">
      <c r="A72" s="32" t="inlineStr">
        <is>
          <t>1. Enter your parameters in the INPUT PARAMETERS section at the top.</t>
        </is>
      </c>
    </row>
    <row r="73">
      <c r="A73" s="32" t="inlineStr">
        <is>
          <t>2. Review the SUMMARY RESULTS to see total cost, revenue, and profit.</t>
        </is>
      </c>
    </row>
    <row r="74">
      <c r="A74" s="32" t="inlineStr">
        <is>
          <t>3. Check the 'Helpers' sheet for validation checks and detailed calculations.</t>
        </is>
      </c>
    </row>
    <row r="75">
      <c r="A75" s="32" t="inlineStr">
        <is>
          <t>4. View BUY ORDERS and SELL ORDERS tables below.</t>
        </is>
      </c>
    </row>
    <row r="76">
      <c r="A76" s="32" t="inlineStr">
        <is>
          <t>5. Only active rungs (based on Number of Rungs) are shown - excess rows are hidden.</t>
        </is>
      </c>
    </row>
    <row r="77">
      <c r="A77" s="32" t="inlineStr">
        <is>
          <t>6. See the Charts sheet for visualizations.</t>
        </is>
      </c>
    </row>
    <row r="78">
      <c r="A78" s="32" t="inlineStr">
        <is>
          <t>7. Helper calculations are in the 'Helpers' sheet (protected from modification).</t>
        </is>
      </c>
    </row>
  </sheetData>
  <mergeCells count="13">
    <mergeCell ref="A1:D1"/>
    <mergeCell ref="A75:D75"/>
    <mergeCell ref="A74:D74"/>
    <mergeCell ref="A77:D77"/>
    <mergeCell ref="A3:D3"/>
    <mergeCell ref="A78:D78"/>
    <mergeCell ref="A72:D72"/>
    <mergeCell ref="A20:J20"/>
    <mergeCell ref="A71:D71"/>
    <mergeCell ref="A73:D73"/>
    <mergeCell ref="A10:D10"/>
    <mergeCell ref="A45:K45"/>
    <mergeCell ref="A76:D7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5" customHeight="1">
      <c r="A1" s="33" t="inlineStr">
        <is>
          <t>HELPER CALCULATIONS</t>
        </is>
      </c>
    </row>
    <row r="2" ht="20" customHeight="1">
      <c r="A2" s="34" t="inlineStr">
        <is>
          <t>⚠ WARNING: These cells are protected. Modifying them may cause calculation errors.</t>
        </is>
      </c>
    </row>
    <row r="3"/>
    <row r="4">
      <c r="A4" s="35" t="inlineStr">
        <is>
          <t>Buy Price Helpers</t>
        </is>
      </c>
    </row>
    <row r="5">
      <c r="A5" s="36" t="inlineStr">
        <is>
          <t>Buy Upper</t>
        </is>
      </c>
      <c r="B5" s="37">
        <f>'Calculator'!$B$5</f>
        <v/>
      </c>
    </row>
    <row r="6">
      <c r="A6" s="36" t="inlineStr">
        <is>
          <t>Buy Lower</t>
        </is>
      </c>
      <c r="B6" s="37">
        <f>IF('Calculator'!$B$5&gt;0,'Calculator'!$B$5*(1-'Calculator'!$B$8/100),0)</f>
        <v/>
      </c>
    </row>
    <row r="7">
      <c r="A7" s="36" t="inlineStr">
        <is>
          <t>Price Step</t>
        </is>
      </c>
      <c r="B7" s="37">
        <f>IF(AND('Calculator'!$B$7&gt;1,B5&gt;0,B6&gt;0),(B5-B6)/('Calculator'!$B$7-1),IF('Calculator'!$B$5&gt;0,'Calculator'!$B$5*0.1,0))</f>
        <v/>
      </c>
    </row>
    <row r="8">
      <c r="A8" s="36" t="inlineStr">
        <is>
          <t>Max Buy Price</t>
        </is>
      </c>
      <c r="B8" s="37">
        <f>'Calculator'!$B$5</f>
        <v/>
      </c>
    </row>
    <row r="9">
      <c r="A9" s="36" t="inlineStr">
        <is>
          <t>Gap Size</t>
        </is>
      </c>
      <c r="B9" s="37">
        <f>IF(AND(B8&gt;0,B7&gt;0),MAX(1,CEILING(B8*'Calculator'!$B$6/100*0.5/B7,1))*B7,0)</f>
        <v/>
      </c>
    </row>
    <row r="10">
      <c r="A10" s="36" t="inlineStr">
        <is>
          <t>Min Sell Price</t>
        </is>
      </c>
      <c r="B10" s="37">
        <f>IF(AND(B8&gt;0,B9&gt;0),B8+B9,0)</f>
        <v/>
      </c>
    </row>
    <row r="11"/>
    <row r="12">
      <c r="A12" s="38" t="inlineStr">
        <is>
          <t>Buy Order Totals</t>
        </is>
      </c>
    </row>
    <row r="13">
      <c r="A13" s="36" t="inlineStr">
        <is>
          <t>Total Buy Qty</t>
        </is>
      </c>
      <c r="B13" s="39">
        <f>SUM('Calculator'!G21:G40)</f>
        <v/>
      </c>
    </row>
    <row r="14">
      <c r="A14" s="36" t="inlineStr">
        <is>
          <t>Total Cost</t>
        </is>
      </c>
      <c r="B14" s="37">
        <f>SUM('Calculator'!F21:F40)</f>
        <v/>
      </c>
    </row>
    <row r="15">
      <c r="A15" s="36" t="inlineStr">
        <is>
          <t>Target Revenue</t>
        </is>
      </c>
      <c r="B15" s="37">
        <f>B14*(1+'Calculator'!$B$6/100)</f>
        <v/>
      </c>
    </row>
    <row r="16"/>
    <row r="17">
      <c r="A17" s="40" t="inlineStr">
        <is>
          <t>Sell Order Helpers</t>
        </is>
      </c>
    </row>
    <row r="18">
      <c r="A18" s="36" t="inlineStr">
        <is>
          <t>Initial Revenue</t>
        </is>
      </c>
      <c r="B18" s="37">
        <f>SUMPRODUCT('Calculator'!B46:B65,'Calculator'!G46:G65)</f>
        <v/>
      </c>
    </row>
    <row r="19">
      <c r="A19" s="36" t="inlineStr">
        <is>
          <t>Price Scale</t>
        </is>
      </c>
      <c r="B19" s="39">
        <f>IF(AND(B18&gt;0,'Helpers'!$B$15&gt;0),'Helpers'!$B$15/B18,1)</f>
        <v/>
      </c>
    </row>
    <row r="20">
      <c r="A20" s="36" t="inlineStr">
        <is>
          <t>Min Valid Sell</t>
        </is>
      </c>
      <c r="B20" s="37">
        <f>IF(AND('Helpers'!$B$8&gt;0,'Helpers'!$B$7&gt;0),'Helpers'!$B$8+'Helpers'!$B$7,0)</f>
        <v/>
      </c>
    </row>
    <row r="21"/>
    <row r="22">
      <c r="A22" s="41" t="inlineStr">
        <is>
          <t>Validation Checks</t>
        </is>
      </c>
    </row>
    <row r="23" ht="16" customHeight="1">
      <c r="A23" s="42" t="inlineStr">
        <is>
          <t>Budget &gt; 0</t>
        </is>
      </c>
      <c r="B23" s="43">
        <f>IF('Calculator'!$B$4&gt;0,"✓ OK","✗ ERROR: Budget must be positive")</f>
        <v/>
      </c>
    </row>
    <row r="24" ht="16" customHeight="1">
      <c r="A24" s="42" t="inlineStr">
        <is>
          <t>Current Price &gt; 0</t>
        </is>
      </c>
      <c r="B24" s="43">
        <f>IF('Calculator'!$B$5&gt;0,"✓ OK","✗ ERROR: Price must be positive")</f>
        <v/>
      </c>
    </row>
    <row r="25" ht="16" customHeight="1">
      <c r="A25" s="42" t="inlineStr">
        <is>
          <t>Profit Target Valid</t>
        </is>
      </c>
      <c r="B25" s="43">
        <f>IF(AND('Calculator'!$B$6&gt;=10,'Calculator'!$B$6&lt;=200),"✓ OK","✗ ERROR: Profit target must be 10-200%")</f>
        <v/>
      </c>
    </row>
    <row r="26" ht="16" customHeight="1">
      <c r="A26" s="42" t="inlineStr">
        <is>
          <t>Num Rungs &gt;= 1</t>
        </is>
      </c>
      <c r="B26" s="43">
        <f>IF('Calculator'!$B$7&gt;=1,"✓ OK","✗ ERROR: Number of rungs must be at least 1")</f>
        <v/>
      </c>
    </row>
    <row r="27" ht="16" customHeight="1">
      <c r="A27" s="42" t="inlineStr">
        <is>
          <t>Buy Price Range Valid</t>
        </is>
      </c>
      <c r="B27" s="43">
        <f>IF(AND('Calculator'!$B$8&gt;0,'Calculator'!$B$8&lt;=100),"✓ OK","✗ ERROR: Buy price range must be 0-100%")</f>
        <v/>
      </c>
    </row>
    <row r="28" ht="16" customHeight="1">
      <c r="A28" s="42" t="inlineStr">
        <is>
          <t>Buy Lower &gt; 0</t>
        </is>
      </c>
      <c r="B28" s="43">
        <f>IF('Helpers'!$B$6&gt;0,"✓ OK","✗ ERROR: Buy lower price is non-positive. Reduce Buy Price Range %")</f>
        <v/>
      </c>
    </row>
    <row r="29" ht="16" customHeight="1">
      <c r="A29" s="42" t="inlineStr">
        <is>
          <t>Sell Prices &gt; Buy Prices</t>
        </is>
      </c>
      <c r="B29" s="43">
        <f>IF(AND('Calculator'!$B$7&gt;0,'Calculator'!$B$7&lt;=20,SUM('Calculator'!B21:B40)&gt;0,SUM('Calculator'!C46:C65)&gt;0),IF(AND(ISNUMBER(INDEX('Calculator'!C46:C65,1)),ISNUMBER(INDEX('Calculator'!B21:B40,'Calculator'!$B$7))),IF(INDEX('Calculator'!C46:C65,1)&gt;INDEX('Calculator'!B21:B40,'Calculator'!$B$7),"✓ OK","✗ ERROR: Sell prices must exceed buy prices"),"N/A"),"N/A")</f>
        <v/>
      </c>
    </row>
    <row r="30" ht="16" customHeight="1">
      <c r="A30" s="42" t="inlineStr">
        <is>
          <t>Volume Match</t>
        </is>
      </c>
      <c r="B30" s="44">
        <f>IF(ABS('Helpers'!$B$13-SUM('Calculator'!G46:G65))&lt;0.0001,"✓ OK","⚠ WARNING: Buy and sell quantities do not match exactly")</f>
        <v/>
      </c>
    </row>
    <row r="31"/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6">
    <mergeCell ref="A4:B4"/>
    <mergeCell ref="A2:B2"/>
    <mergeCell ref="A1:B1"/>
    <mergeCell ref="A17:B17"/>
    <mergeCell ref="A22:B2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2025-11-07T07:41:52Z</dcterms:created>
  <dcterms:modified xsi:type="dcterms:W3CDTF">2025-11-07T07:41:52Z</dcterms:modified>
</cp:coreProperties>
</file>