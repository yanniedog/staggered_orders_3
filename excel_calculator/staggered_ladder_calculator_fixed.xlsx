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staggered_orders_3\excel_calculator\"/>
    </mc:Choice>
  </mc:AlternateContent>
  <xr:revisionPtr revIDLastSave="0" documentId="13_ncr:1_{5F5D6C20-A640-463B-8E6C-9B4DEA65106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alculator" sheetId="1" r:id="rId1"/>
    <sheet name="Helpers" sheetId="2" r:id="rId2"/>
    <sheet name="Charts" sheetId="3" r:id="rId3"/>
  </sheets>
  <definedNames>
    <definedName name="_xlnm._FilterDatabase" localSheetId="0" hidden="1">Calculator!$A$45:$L$65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20" i="2"/>
  <c r="B8" i="2"/>
  <c r="B7" i="2"/>
  <c r="B9" i="2" s="1"/>
  <c r="B6" i="2"/>
  <c r="B28" i="2" s="1"/>
  <c r="B5" i="2"/>
  <c r="L65" i="1"/>
  <c r="K65" i="1"/>
  <c r="J65" i="1"/>
  <c r="I65" i="1"/>
  <c r="H65" i="1"/>
  <c r="G65" i="1"/>
  <c r="F65" i="1"/>
  <c r="E65" i="1"/>
  <c r="D65" i="1"/>
  <c r="C65" i="1"/>
  <c r="B65" i="1"/>
  <c r="L64" i="1"/>
  <c r="K64" i="1"/>
  <c r="J64" i="1"/>
  <c r="I64" i="1"/>
  <c r="H64" i="1"/>
  <c r="G64" i="1"/>
  <c r="F64" i="1"/>
  <c r="E64" i="1"/>
  <c r="D64" i="1"/>
  <c r="C64" i="1"/>
  <c r="B64" i="1"/>
  <c r="K63" i="1"/>
  <c r="J63" i="1"/>
  <c r="I63" i="1"/>
  <c r="H63" i="1"/>
  <c r="G63" i="1"/>
  <c r="F63" i="1"/>
  <c r="E63" i="1"/>
  <c r="D63" i="1"/>
  <c r="C63" i="1"/>
  <c r="L63" i="1" s="1"/>
  <c r="B63" i="1"/>
  <c r="K62" i="1"/>
  <c r="J62" i="1"/>
  <c r="I62" i="1"/>
  <c r="H62" i="1"/>
  <c r="G62" i="1"/>
  <c r="L62" i="1" s="1"/>
  <c r="F62" i="1"/>
  <c r="E62" i="1"/>
  <c r="D62" i="1"/>
  <c r="C62" i="1"/>
  <c r="B62" i="1"/>
  <c r="K61" i="1"/>
  <c r="J61" i="1"/>
  <c r="I61" i="1"/>
  <c r="H61" i="1"/>
  <c r="G61" i="1"/>
  <c r="L61" i="1" s="1"/>
  <c r="F61" i="1"/>
  <c r="E61" i="1"/>
  <c r="D61" i="1"/>
  <c r="C61" i="1"/>
  <c r="B61" i="1"/>
  <c r="K60" i="1"/>
  <c r="J60" i="1"/>
  <c r="I60" i="1"/>
  <c r="H60" i="1"/>
  <c r="G60" i="1"/>
  <c r="F60" i="1"/>
  <c r="E60" i="1"/>
  <c r="D60" i="1"/>
  <c r="C60" i="1"/>
  <c r="B60" i="1"/>
  <c r="K59" i="1"/>
  <c r="J59" i="1"/>
  <c r="I59" i="1"/>
  <c r="H59" i="1"/>
  <c r="G59" i="1"/>
  <c r="F59" i="1"/>
  <c r="E59" i="1"/>
  <c r="D59" i="1"/>
  <c r="C59" i="1"/>
  <c r="L59" i="1" s="1"/>
  <c r="B59" i="1"/>
  <c r="K58" i="1"/>
  <c r="J58" i="1"/>
  <c r="I58" i="1"/>
  <c r="H58" i="1"/>
  <c r="G58" i="1"/>
  <c r="F58" i="1"/>
  <c r="E58" i="1"/>
  <c r="D58" i="1"/>
  <c r="C58" i="1"/>
  <c r="B58" i="1"/>
  <c r="K57" i="1"/>
  <c r="J57" i="1"/>
  <c r="I57" i="1"/>
  <c r="H57" i="1"/>
  <c r="G57" i="1"/>
  <c r="F57" i="1"/>
  <c r="E57" i="1"/>
  <c r="D57" i="1"/>
  <c r="C57" i="1"/>
  <c r="L57" i="1" s="1"/>
  <c r="B57" i="1"/>
  <c r="K56" i="1"/>
  <c r="J56" i="1"/>
  <c r="I56" i="1"/>
  <c r="H56" i="1"/>
  <c r="G56" i="1"/>
  <c r="F56" i="1"/>
  <c r="E56" i="1"/>
  <c r="D56" i="1"/>
  <c r="C56" i="1"/>
  <c r="B56" i="1"/>
  <c r="D55" i="1"/>
  <c r="D54" i="1"/>
  <c r="D53" i="1"/>
  <c r="D52" i="1"/>
  <c r="D51" i="1"/>
  <c r="D50" i="1"/>
  <c r="D49" i="1"/>
  <c r="D48" i="1"/>
  <c r="D47" i="1"/>
  <c r="E48" i="1" s="1"/>
  <c r="D46" i="1"/>
  <c r="E50" i="1" s="1"/>
  <c r="J40" i="1"/>
  <c r="I40" i="1"/>
  <c r="H40" i="1"/>
  <c r="G40" i="1"/>
  <c r="F40" i="1"/>
  <c r="E40" i="1"/>
  <c r="D40" i="1"/>
  <c r="C40" i="1"/>
  <c r="B40" i="1"/>
  <c r="K40" i="1" s="1"/>
  <c r="K39" i="1"/>
  <c r="J39" i="1"/>
  <c r="I39" i="1"/>
  <c r="H39" i="1"/>
  <c r="G39" i="1"/>
  <c r="F39" i="1"/>
  <c r="E39" i="1"/>
  <c r="D39" i="1"/>
  <c r="C39" i="1"/>
  <c r="B39" i="1"/>
  <c r="K38" i="1"/>
  <c r="J38" i="1"/>
  <c r="I38" i="1"/>
  <c r="H38" i="1"/>
  <c r="G38" i="1"/>
  <c r="F38" i="1"/>
  <c r="E38" i="1"/>
  <c r="D38" i="1"/>
  <c r="C38" i="1"/>
  <c r="B38" i="1"/>
  <c r="J37" i="1"/>
  <c r="I37" i="1"/>
  <c r="H37" i="1"/>
  <c r="G37" i="1"/>
  <c r="F37" i="1"/>
  <c r="E37" i="1"/>
  <c r="D37" i="1"/>
  <c r="C37" i="1"/>
  <c r="B37" i="1"/>
  <c r="K37" i="1" s="1"/>
  <c r="J36" i="1"/>
  <c r="I36" i="1"/>
  <c r="H36" i="1"/>
  <c r="G36" i="1"/>
  <c r="K36" i="1" s="1"/>
  <c r="F36" i="1"/>
  <c r="E36" i="1"/>
  <c r="D36" i="1"/>
  <c r="C36" i="1"/>
  <c r="B36" i="1"/>
  <c r="J35" i="1"/>
  <c r="I35" i="1"/>
  <c r="H35" i="1"/>
  <c r="G35" i="1"/>
  <c r="F35" i="1"/>
  <c r="E35" i="1"/>
  <c r="D35" i="1"/>
  <c r="C35" i="1"/>
  <c r="B35" i="1"/>
  <c r="K35" i="1" s="1"/>
  <c r="J34" i="1"/>
  <c r="I34" i="1"/>
  <c r="H34" i="1"/>
  <c r="G34" i="1"/>
  <c r="F34" i="1"/>
  <c r="E34" i="1"/>
  <c r="D34" i="1"/>
  <c r="C34" i="1"/>
  <c r="B34" i="1"/>
  <c r="K34" i="1" s="1"/>
  <c r="K33" i="1"/>
  <c r="J33" i="1"/>
  <c r="I33" i="1"/>
  <c r="H33" i="1"/>
  <c r="G33" i="1"/>
  <c r="F33" i="1"/>
  <c r="E33" i="1"/>
  <c r="D33" i="1"/>
  <c r="C33" i="1"/>
  <c r="B33" i="1"/>
  <c r="K32" i="1"/>
  <c r="J32" i="1"/>
  <c r="I32" i="1"/>
  <c r="H32" i="1"/>
  <c r="G32" i="1"/>
  <c r="F32" i="1"/>
  <c r="E32" i="1"/>
  <c r="D32" i="1"/>
  <c r="C32" i="1"/>
  <c r="B32" i="1"/>
  <c r="J31" i="1"/>
  <c r="I31" i="1"/>
  <c r="H31" i="1"/>
  <c r="G31" i="1"/>
  <c r="F31" i="1"/>
  <c r="E31" i="1"/>
  <c r="D31" i="1"/>
  <c r="C31" i="1"/>
  <c r="B31" i="1"/>
  <c r="K31" i="1" s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D29" i="1" s="1"/>
  <c r="E29" i="1" s="1"/>
  <c r="B23" i="1"/>
  <c r="C22" i="1"/>
  <c r="D26" i="1" s="1"/>
  <c r="E26" i="1" s="1"/>
  <c r="B22" i="1"/>
  <c r="C21" i="1"/>
  <c r="D25" i="1" s="1"/>
  <c r="E25" i="1" s="1"/>
  <c r="B21" i="1"/>
  <c r="B12" i="1"/>
  <c r="B11" i="1"/>
  <c r="L58" i="1" l="1"/>
  <c r="L60" i="1"/>
  <c r="L56" i="1"/>
  <c r="B10" i="2"/>
  <c r="D23" i="1"/>
  <c r="E23" i="1" s="1"/>
  <c r="F23" i="1" s="1"/>
  <c r="D24" i="1"/>
  <c r="E24" i="1" s="1"/>
  <c r="D30" i="1"/>
  <c r="E30" i="1" s="1"/>
  <c r="E49" i="1"/>
  <c r="D22" i="1"/>
  <c r="E22" i="1" s="1"/>
  <c r="D28" i="1"/>
  <c r="E28" i="1" s="1"/>
  <c r="E47" i="1"/>
  <c r="E46" i="1"/>
  <c r="D27" i="1"/>
  <c r="E27" i="1" s="1"/>
  <c r="E55" i="1"/>
  <c r="E54" i="1"/>
  <c r="D21" i="1"/>
  <c r="E21" i="1" s="1"/>
  <c r="E52" i="1"/>
  <c r="E53" i="1"/>
  <c r="E51" i="1"/>
  <c r="B47" i="1" l="1"/>
  <c r="B48" i="1"/>
  <c r="B49" i="1"/>
  <c r="B50" i="1"/>
  <c r="B51" i="1"/>
  <c r="B52" i="1"/>
  <c r="B53" i="1"/>
  <c r="B54" i="1"/>
  <c r="B55" i="1"/>
  <c r="B46" i="1"/>
  <c r="G23" i="1"/>
  <c r="F26" i="1"/>
  <c r="F27" i="1"/>
  <c r="F29" i="1"/>
  <c r="F28" i="1"/>
  <c r="F22" i="1"/>
  <c r="F25" i="1"/>
  <c r="F30" i="1"/>
  <c r="F21" i="1"/>
  <c r="F24" i="1"/>
  <c r="K23" i="1" l="1"/>
  <c r="G28" i="1"/>
  <c r="G27" i="1"/>
  <c r="G26" i="1"/>
  <c r="G24" i="1"/>
  <c r="B14" i="2"/>
  <c r="B15" i="2" s="1"/>
  <c r="H21" i="1"/>
  <c r="H22" i="1" s="1"/>
  <c r="H23" i="1" s="1"/>
  <c r="H24" i="1" s="1"/>
  <c r="H25" i="1" s="1"/>
  <c r="H26" i="1" s="1"/>
  <c r="H27" i="1" s="1"/>
  <c r="H28" i="1" s="1"/>
  <c r="H29" i="1" s="1"/>
  <c r="H30" i="1" s="1"/>
  <c r="B13" i="1"/>
  <c r="G21" i="1"/>
  <c r="G30" i="1"/>
  <c r="G25" i="1"/>
  <c r="G22" i="1"/>
  <c r="G29" i="1"/>
  <c r="K24" i="1" l="1"/>
  <c r="K22" i="1"/>
  <c r="K26" i="1"/>
  <c r="K27" i="1"/>
  <c r="K29" i="1"/>
  <c r="I21" i="1"/>
  <c r="J21" i="1" s="1"/>
  <c r="B17" i="1"/>
  <c r="B13" i="2"/>
  <c r="K21" i="1"/>
  <c r="K25" i="1"/>
  <c r="K30" i="1"/>
  <c r="K28" i="1"/>
  <c r="I22" i="1" l="1"/>
  <c r="F51" i="1"/>
  <c r="F52" i="1"/>
  <c r="F48" i="1"/>
  <c r="F49" i="1"/>
  <c r="F53" i="1"/>
  <c r="F54" i="1"/>
  <c r="F47" i="1"/>
  <c r="F55" i="1"/>
  <c r="F46" i="1"/>
  <c r="F50" i="1"/>
  <c r="G50" i="1" s="1"/>
  <c r="G53" i="1" l="1"/>
  <c r="G52" i="1"/>
  <c r="G46" i="1"/>
  <c r="G47" i="1"/>
  <c r="G49" i="1"/>
  <c r="G51" i="1"/>
  <c r="G55" i="1"/>
  <c r="G54" i="1"/>
  <c r="G48" i="1"/>
  <c r="J22" i="1"/>
  <c r="I23" i="1"/>
  <c r="J23" i="1" l="1"/>
  <c r="I24" i="1"/>
  <c r="J46" i="1"/>
  <c r="B18" i="1"/>
  <c r="B18" i="2"/>
  <c r="B19" i="2" s="1"/>
  <c r="B30" i="2"/>
  <c r="C52" i="1" l="1"/>
  <c r="C54" i="1"/>
  <c r="C49" i="1"/>
  <c r="C53" i="1"/>
  <c r="C51" i="1"/>
  <c r="C48" i="1"/>
  <c r="C50" i="1"/>
  <c r="C47" i="1"/>
  <c r="C46" i="1"/>
  <c r="C55" i="1"/>
  <c r="J24" i="1"/>
  <c r="I25" i="1"/>
  <c r="J47" i="1"/>
  <c r="L47" i="1" l="1"/>
  <c r="H47" i="1"/>
  <c r="L48" i="1"/>
  <c r="H48" i="1"/>
  <c r="H49" i="1"/>
  <c r="L49" i="1"/>
  <c r="L46" i="1"/>
  <c r="H46" i="1"/>
  <c r="B29" i="2"/>
  <c r="L51" i="1"/>
  <c r="H51" i="1"/>
  <c r="J48" i="1"/>
  <c r="H54" i="1"/>
  <c r="L54" i="1"/>
  <c r="H55" i="1"/>
  <c r="L55" i="1"/>
  <c r="L50" i="1"/>
  <c r="H50" i="1"/>
  <c r="H53" i="1"/>
  <c r="L53" i="1"/>
  <c r="J25" i="1"/>
  <c r="I26" i="1"/>
  <c r="L52" i="1"/>
  <c r="H52" i="1"/>
  <c r="J26" i="1" l="1"/>
  <c r="I27" i="1"/>
  <c r="B14" i="1"/>
  <c r="B15" i="1" s="1"/>
  <c r="B16" i="1" s="1"/>
  <c r="I46" i="1"/>
  <c r="K46" i="1" s="1"/>
  <c r="I47" i="1"/>
  <c r="K47" i="1" s="1"/>
  <c r="J49" i="1"/>
  <c r="J27" i="1" l="1"/>
  <c r="I28" i="1"/>
  <c r="I48" i="1"/>
  <c r="J50" i="1"/>
  <c r="J51" i="1" l="1"/>
  <c r="K48" i="1"/>
  <c r="I49" i="1"/>
  <c r="J28" i="1"/>
  <c r="I29" i="1"/>
  <c r="J29" i="1" l="1"/>
  <c r="I30" i="1"/>
  <c r="J30" i="1" s="1"/>
  <c r="I50" i="1"/>
  <c r="K49" i="1"/>
  <c r="J52" i="1"/>
  <c r="J53" i="1" l="1"/>
  <c r="I51" i="1"/>
  <c r="K50" i="1"/>
  <c r="I52" i="1" l="1"/>
  <c r="K51" i="1"/>
  <c r="J54" i="1"/>
  <c r="J55" i="1" l="1"/>
  <c r="I53" i="1"/>
  <c r="K52" i="1"/>
  <c r="I54" i="1" l="1"/>
  <c r="K53" i="1"/>
  <c r="I55" i="1" l="1"/>
  <c r="K55" i="1" s="1"/>
  <c r="K54" i="1"/>
</calcChain>
</file>

<file path=xl/sharedStrings.xml><?xml version="1.0" encoding="utf-8"?>
<sst xmlns="http://schemas.openxmlformats.org/spreadsheetml/2006/main" count="57" uniqueCount="55">
  <si>
    <t>STAGGERED ORDER LADDER CALCULATOR</t>
  </si>
  <si>
    <t>INPUT PARAMETERS</t>
  </si>
  <si>
    <t>Total Budget ($)</t>
  </si>
  <si>
    <t>Total amount available for buy orders</t>
  </si>
  <si>
    <t>Current Price ($)</t>
  </si>
  <si>
    <t>Current market price (highest buy rung)</t>
  </si>
  <si>
    <t>Profit Target (%)</t>
  </si>
  <si>
    <t>Target profit percentage (10-200%)</t>
  </si>
  <si>
    <t>Number of Rungs</t>
  </si>
  <si>
    <t>Number of buy/sell orders to place</t>
  </si>
  <si>
    <t>Buy Price Range (%)</t>
  </si>
  <si>
    <t>Price range for buy ladder (0-100%)</t>
  </si>
  <si>
    <t>SUMMARY RESULTS</t>
  </si>
  <si>
    <t>Total Budget</t>
  </si>
  <si>
    <t>Total Cost</t>
  </si>
  <si>
    <t>Total Revenue</t>
  </si>
  <si>
    <t>Total Profit</t>
  </si>
  <si>
    <t>Profit Percentage</t>
  </si>
  <si>
    <t>Total Buy Quantity</t>
  </si>
  <si>
    <t>Total Sell Quantity</t>
  </si>
  <si>
    <t>BUY ORDERS</t>
  </si>
  <si>
    <t>SELL ORDERS</t>
  </si>
  <si>
    <t>INSTRUCTIONS</t>
  </si>
  <si>
    <t>1. Enter your parameters in the INPUT PARAMETERS section at the top.</t>
  </si>
  <si>
    <t>2. Review the SUMMARY RESULTS to see total cost, revenue, and profit.</t>
  </si>
  <si>
    <t>3. Check the 'Helpers' sheet for validation checks and detailed calculations.</t>
  </si>
  <si>
    <t>4. View BUY ORDERS and SELL ORDERS tables below.</t>
  </si>
  <si>
    <t>5. Filters are applied automatically - only active rungs are shown.</t>
  </si>
  <si>
    <t>6. See the Charts sheet for visualizations.</t>
  </si>
  <si>
    <t>7. Helper calculations are in the 'Helpers' sheet (protected from modification).</t>
  </si>
  <si>
    <t>HELPER CALCULATIONS</t>
  </si>
  <si>
    <t>⚠ WARNING: These cells are protected. Modifying them may cause calculation errors.</t>
  </si>
  <si>
    <t>Buy Price Helpers</t>
  </si>
  <si>
    <t>Buy Upper</t>
  </si>
  <si>
    <t>Buy Lower</t>
  </si>
  <si>
    <t>Price Step</t>
  </si>
  <si>
    <t>Max Buy Price</t>
  </si>
  <si>
    <t>Gap Size</t>
  </si>
  <si>
    <t>Min Sell Price</t>
  </si>
  <si>
    <t>Buy Order Totals</t>
  </si>
  <si>
    <t>Total Buy Qty</t>
  </si>
  <si>
    <t>Target Revenue</t>
  </si>
  <si>
    <t>Sell Order Helpers</t>
  </si>
  <si>
    <t>Initial Revenue</t>
  </si>
  <si>
    <t>Price Scale</t>
  </si>
  <si>
    <t>Min Valid Sell</t>
  </si>
  <si>
    <t>Validation Checks</t>
  </si>
  <si>
    <t>Budget &gt; 0</t>
  </si>
  <si>
    <t>Current Price &gt; 0</t>
  </si>
  <si>
    <t>Profit Target Valid</t>
  </si>
  <si>
    <t>Num Rungs &gt;= 1</t>
  </si>
  <si>
    <t>Buy Price Range Valid</t>
  </si>
  <si>
    <t>Buy Lower &gt; 0</t>
  </si>
  <si>
    <t>Sell Prices &gt; Buy Prices</t>
  </si>
  <si>
    <t>Volume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</si>
</sst>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name val="Calibri"/>
    </font>
    <font>
      <b/>
      <sz val="10"/>
      <name val="Calibri"/>
    </font>
    <font>
      <sz val="11"/>
      <name val="Calibri"/>
    </font>
    <font>
      <i/>
      <sz val="9"/>
      <color rgb="FF666666"/>
      <name val="Calibri"/>
    </font>
    <font>
      <b/>
      <sz val="11"/>
      <name val="Calibri"/>
    </font>
    <font>
      <b/>
      <sz val="14"/>
      <name val="Calibri"/>
    </font>
    <font>
      <b/>
      <i/>
      <sz val="10"/>
      <color rgb="FFFF0000"/>
      <name val="Calibri"/>
    </font>
    <font>
      <sz val="9"/>
      <name val="Calibri"/>
    </font>
    <font>
      <b/>
      <sz val="9"/>
      <color rgb="FFFF0000"/>
      <name val="Calibri"/>
    </font>
    <font>
      <b/>
      <sz val="9"/>
      <color rgb="FFFF8800"/>
      <name val="Calibri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F3FF"/>
        <bgColor rgb="FFE7F3FF"/>
      </patternFill>
    </fill>
    <fill>
      <patternFill patternType="solid">
        <fgColor rgb="FFFFFFFF"/>
        <bgColor rgb="FFFFFFFF"/>
      </patternFill>
    </fill>
    <fill>
      <patternFill patternType="solid">
        <fgColor rgb="FFFFF4E6"/>
        <bgColor rgb="FFFFF4E6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F5F5F5"/>
        <bgColor rgb="FFF5F5F5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0" xfId="0" applyFont="1" applyFill="1" applyAlignment="1">
      <alignment horizontal="right" vertical="center"/>
    </xf>
    <xf numFmtId="4" fontId="4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4" fontId="6" fillId="4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4" fontId="12" fillId="11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165" fontId="12" fillId="11" borderId="2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4" fontId="0" fillId="11" borderId="2" xfId="0" applyNumberFormat="1" applyFill="1" applyBorder="1"/>
    <xf numFmtId="165" fontId="0" fillId="11" borderId="2" xfId="0" applyNumberFormat="1" applyFill="1" applyBorder="1"/>
    <xf numFmtId="0" fontId="12" fillId="9" borderId="2" xfId="0" applyFont="1" applyFill="1" applyBorder="1" applyAlignment="1">
      <alignment horizontal="center" vertical="center"/>
    </xf>
    <xf numFmtId="4" fontId="12" fillId="9" borderId="2" xfId="0" applyNumberFormat="1" applyFont="1" applyFill="1" applyBorder="1" applyAlignment="1">
      <alignment horizontal="center" vertical="center"/>
    </xf>
    <xf numFmtId="165" fontId="12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4" fontId="0" fillId="9" borderId="2" xfId="0" applyNumberFormat="1" applyFill="1" applyBorder="1"/>
    <xf numFmtId="165" fontId="0" fillId="9" borderId="2" xfId="0" applyNumberFormat="1" applyFill="1" applyBorder="1"/>
    <xf numFmtId="0" fontId="5" fillId="0" borderId="0" xfId="0" applyFont="1" applyAlignment="1">
      <alignment horizontal="right" vertical="center"/>
    </xf>
    <xf numFmtId="4" fontId="0" fillId="0" borderId="2" xfId="0" applyNumberFormat="1" applyBorder="1"/>
    <xf numFmtId="165" fontId="0" fillId="0" borderId="2" xfId="0" applyNumberFormat="1" applyBorder="1"/>
    <xf numFmtId="0" fontId="9" fillId="0" borderId="0" xfId="0" applyFont="1" applyAlignment="1">
      <alignment horizontal="right" vertical="center"/>
    </xf>
    <xf numFmtId="0" fontId="10" fillId="9" borderId="2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/>
    <xf numFmtId="0" fontId="2" fillId="11" borderId="0" xfId="0" applyFont="1" applyFill="1"/>
    <xf numFmtId="0" fontId="2" fillId="9" borderId="0" xfId="0" applyFont="1" applyFill="1"/>
    <xf numFmtId="0" fontId="2" fillId="3" borderId="0" xfId="0" applyFont="1" applyFill="1"/>
    <xf numFmtId="0" fontId="2" fillId="0" borderId="0" xfId="0" applyFont="1"/>
    <xf numFmtId="0" fontId="2" fillId="5" borderId="0" xfId="0" applyFont="1" applyFill="1"/>
    <xf numFmtId="0" fontId="6" fillId="10" borderId="0" xfId="0" applyFont="1" applyFill="1"/>
    <xf numFmtId="0" fontId="8" fillId="9" borderId="0" xfId="0" applyFont="1" applyFill="1"/>
    <xf numFmtId="0" fontId="7" fillId="8" borderId="0" xfId="0" applyFont="1" applyFill="1"/>
    <xf numFmtId="0" fontId="6" fillId="9" borderId="0" xfId="0" applyFont="1" applyFill="1"/>
    <xf numFmtId="0" fontId="6" fillId="12" borderId="0" xfId="0" applyFont="1" applyFill="1"/>
    <xf numFmtId="0" fontId="6" fillId="11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Buy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Calculator!$B$20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Calculator!$A$21:$A$40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Calculator!$B$21:$B$40</c:f>
              <c:numCache>
                <c:formatCode>#,##0.00</c:formatCode>
                <c:ptCount val="10"/>
                <c:pt idx="0">
                  <c:v>35</c:v>
                </c:pt>
                <c:pt idx="1">
                  <c:v>36.666666666666664</c:v>
                </c:pt>
                <c:pt idx="2">
                  <c:v>38.333333333333336</c:v>
                </c:pt>
                <c:pt idx="3">
                  <c:v>40</c:v>
                </c:pt>
                <c:pt idx="4">
                  <c:v>41.666666666666664</c:v>
                </c:pt>
                <c:pt idx="5">
                  <c:v>43.333333333333336</c:v>
                </c:pt>
                <c:pt idx="6">
                  <c:v>45</c:v>
                </c:pt>
                <c:pt idx="7">
                  <c:v>46.666666666666664</c:v>
                </c:pt>
                <c:pt idx="8">
                  <c:v>48.333333333333336</c:v>
                </c:pt>
                <c:pt idx="9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9A-4859-ACD5-8ABAC44A6739}"/>
            </c:ext>
          </c:extLst>
        </c:ser>
        <c:ser>
          <c:idx val="1"/>
          <c:order val="1"/>
          <c:tx>
            <c:strRef>
              <c:f>Calculator!$J$20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Calculator!$A$21:$A$40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Calculator!$J$21:$J$40</c:f>
              <c:numCache>
                <c:formatCode>#,##0.00</c:formatCode>
                <c:ptCount val="10"/>
                <c:pt idx="0">
                  <c:v>35</c:v>
                </c:pt>
                <c:pt idx="1">
                  <c:v>35.722026499708846</c:v>
                </c:pt>
                <c:pt idx="2">
                  <c:v>36.37261294694661</c:v>
                </c:pt>
                <c:pt idx="3">
                  <c:v>36.954807983635419</c:v>
                </c:pt>
                <c:pt idx="4">
                  <c:v>37.472298607842674</c:v>
                </c:pt>
                <c:pt idx="5">
                  <c:v>37.929268469316263</c:v>
                </c:pt>
                <c:pt idx="6">
                  <c:v>38.330248387719472</c:v>
                </c:pt>
                <c:pt idx="7">
                  <c:v>38.679969106404407</c:v>
                </c:pt>
                <c:pt idx="8">
                  <c:v>38.983224598593758</c:v>
                </c:pt>
                <c:pt idx="9">
                  <c:v>39.244752041795039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9A-4859-ACD5-8ABAC44A6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Buy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Calculator!$G$20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Calculator!$A$21:$A$40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Calculator!$G$21:$G$40</c:f>
              <c:numCache>
                <c:formatCode>#,##0.0000</c:formatCode>
                <c:ptCount val="10"/>
                <c:pt idx="0">
                  <c:v>63.851647403810098</c:v>
                </c:pt>
                <c:pt idx="1">
                  <c:v>48.804384027082712</c:v>
                </c:pt>
                <c:pt idx="2">
                  <c:v>37.380387207374639</c:v>
                </c:pt>
                <c:pt idx="3">
                  <c:v>28.684712748605438</c:v>
                </c:pt>
                <c:pt idx="4">
                  <c:v>22.050165494143652</c:v>
                </c:pt>
                <c:pt idx="5">
                  <c:v>16.977300241986921</c:v>
                </c:pt>
                <c:pt idx="6">
                  <c:v>13.090864515259081</c:v>
                </c:pt>
                <c:pt idx="7">
                  <c:v>10.107975394817057</c:v>
                </c:pt>
                <c:pt idx="8">
                  <c:v>7.8147362434137451</c:v>
                </c:pt>
                <c:pt idx="9">
                  <c:v>6.048966550563275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B-4EED-9A7C-D2B20DD51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#,##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Sell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Calculator!$C$45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Calculator!$A$46:$A$65</c:f>
            </c:multiLvlStrRef>
          </c:cat>
          <c:val>
            <c:numRef>
              <c:f>Calculator!$C$46:$C$65</c:f>
            </c:numRef>
          </c:val>
          <c:smooth val="1"/>
          <c:extLst>
            <c:ext xmlns:c16="http://schemas.microsoft.com/office/drawing/2014/chart" uri="{C3380CC4-5D6E-409C-BE32-E72D297353CC}">
              <c16:uniqueId val="{00000000-BA05-474B-A6C1-EA83965A801E}"/>
            </c:ext>
          </c:extLst>
        </c:ser>
        <c:ser>
          <c:idx val="1"/>
          <c:order val="1"/>
          <c:tx>
            <c:strRef>
              <c:f>Calculator!$K$45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Calculator!$A$46:$A$65</c:f>
            </c:multiLvlStrRef>
          </c:cat>
          <c:val>
            <c:numRef>
              <c:f>Calculator!$K$46:$K$65</c:f>
            </c:numRef>
          </c:val>
          <c:smooth val="1"/>
          <c:extLst>
            <c:ext xmlns:c16="http://schemas.microsoft.com/office/drawing/2014/chart" uri="{C3380CC4-5D6E-409C-BE32-E72D297353CC}">
              <c16:uniqueId val="{00000001-BA05-474B-A6C1-EA83965A8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Sell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Calculator!$G$45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Calculator!$A$46:$A$65</c:f>
            </c:multiLvlStrRef>
          </c:cat>
          <c:val>
            <c:numRef>
              <c:f>Calculator!$G$46:$G$65</c:f>
            </c:numRef>
          </c:val>
          <c:extLst>
            <c:ext xmlns:c16="http://schemas.microsoft.com/office/drawing/2014/chart" uri="{C3380CC4-5D6E-409C-BE32-E72D297353CC}">
              <c16:uniqueId val="{00000000-A2F5-461D-8827-5CD21AEB8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Combined Buy/Sell Ladder: Average Price vs Order Price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Buy Orders</c:v>
          </c:tx>
          <c:spPr>
            <a:ln w="28575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Calculator!$B$21:$B$40</c:f>
              <c:numCache>
                <c:formatCode>#,##0.00</c:formatCode>
                <c:ptCount val="10"/>
                <c:pt idx="0">
                  <c:v>35</c:v>
                </c:pt>
                <c:pt idx="1">
                  <c:v>36.666666666666664</c:v>
                </c:pt>
                <c:pt idx="2">
                  <c:v>38.333333333333336</c:v>
                </c:pt>
                <c:pt idx="3">
                  <c:v>40</c:v>
                </c:pt>
                <c:pt idx="4">
                  <c:v>41.666666666666664</c:v>
                </c:pt>
                <c:pt idx="5">
                  <c:v>43.333333333333336</c:v>
                </c:pt>
                <c:pt idx="6">
                  <c:v>45</c:v>
                </c:pt>
                <c:pt idx="7">
                  <c:v>46.666666666666664</c:v>
                </c:pt>
                <c:pt idx="8">
                  <c:v>48.333333333333336</c:v>
                </c:pt>
                <c:pt idx="9">
                  <c:v>50</c:v>
                </c:pt>
              </c:numCache>
            </c:numRef>
          </c:xVal>
          <c:yVal>
            <c:numRef>
              <c:f>Calculator!$J$21:$J$40</c:f>
              <c:numCache>
                <c:formatCode>#,##0.00</c:formatCode>
                <c:ptCount val="10"/>
                <c:pt idx="0">
                  <c:v>35</c:v>
                </c:pt>
                <c:pt idx="1">
                  <c:v>35.722026499708846</c:v>
                </c:pt>
                <c:pt idx="2">
                  <c:v>36.37261294694661</c:v>
                </c:pt>
                <c:pt idx="3">
                  <c:v>36.954807983635419</c:v>
                </c:pt>
                <c:pt idx="4">
                  <c:v>37.472298607842674</c:v>
                </c:pt>
                <c:pt idx="5">
                  <c:v>37.929268469316263</c:v>
                </c:pt>
                <c:pt idx="6">
                  <c:v>38.330248387719472</c:v>
                </c:pt>
                <c:pt idx="7">
                  <c:v>38.679969106404407</c:v>
                </c:pt>
                <c:pt idx="8">
                  <c:v>38.983224598593758</c:v>
                </c:pt>
                <c:pt idx="9">
                  <c:v>39.244752041795039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30-40F8-94D8-CEA86564B9BA}"/>
            </c:ext>
          </c:extLst>
        </c:ser>
        <c:ser>
          <c:idx val="1"/>
          <c:order val="1"/>
          <c:tx>
            <c:v>Sell Orders</c:v>
          </c:tx>
          <c:spPr>
            <a:ln w="28575">
              <a:solidFill>
                <a:srgbClr val="C62828"/>
              </a:solidFill>
              <a:prstDash val="solid"/>
            </a:ln>
          </c:spPr>
          <c:marker>
            <c:symbol val="none"/>
          </c:marker>
          <c:xVal>
            <c:numRef>
              <c:f>Calculator!$C$46:$C$65</c:f>
            </c:numRef>
          </c:xVal>
          <c:yVal>
            <c:numRef>
              <c:f>Calculator!$K$46:$K$65</c:f>
            </c:numRef>
          </c:yVal>
          <c:smooth val="1"/>
          <c:extLst>
            <c:ext xmlns:c16="http://schemas.microsoft.com/office/drawing/2014/chart" uri="{C3380CC4-5D6E-409C-BE32-E72D297353CC}">
              <c16:uniqueId val="{00000001-5B30-40F8-94D8-CEA86564B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Order 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Order Quantities: Buy vs Sell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Calculator!$G$20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Calculator!$A$21:$A$40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Calculator!$G$21:$G$40</c:f>
              <c:numCache>
                <c:formatCode>#,##0.0000</c:formatCode>
                <c:ptCount val="10"/>
                <c:pt idx="0">
                  <c:v>63.851647403810098</c:v>
                </c:pt>
                <c:pt idx="1">
                  <c:v>48.804384027082712</c:v>
                </c:pt>
                <c:pt idx="2">
                  <c:v>37.380387207374639</c:v>
                </c:pt>
                <c:pt idx="3">
                  <c:v>28.684712748605438</c:v>
                </c:pt>
                <c:pt idx="4">
                  <c:v>22.050165494143652</c:v>
                </c:pt>
                <c:pt idx="5">
                  <c:v>16.977300241986921</c:v>
                </c:pt>
                <c:pt idx="6">
                  <c:v>13.090864515259081</c:v>
                </c:pt>
                <c:pt idx="7">
                  <c:v>10.107975394817057</c:v>
                </c:pt>
                <c:pt idx="8">
                  <c:v>7.8147362434137451</c:v>
                </c:pt>
                <c:pt idx="9">
                  <c:v>6.048966550563275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C-42BC-9594-00A2F346007F}"/>
            </c:ext>
          </c:extLst>
        </c:ser>
        <c:ser>
          <c:idx val="1"/>
          <c:order val="1"/>
          <c:tx>
            <c:strRef>
              <c:f>Calculator!$G$45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Calculator!$A$21:$A$40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Calculator!$G$46:$G$65</c:f>
            </c:numRef>
          </c:val>
          <c:extLst>
            <c:ext xmlns:c16="http://schemas.microsoft.com/office/drawing/2014/chart" uri="{C3380CC4-5D6E-409C-BE32-E72D297353CC}">
              <c16:uniqueId val="{00000001-F1FC-42BC-9594-00A2F3460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Order Rung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#,##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14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0</xdr:row>
      <xdr:rowOff>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14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720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6480000" cy="36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8"/>
  <sheetViews>
    <sheetView tabSelected="1" workbookViewId="0"/>
  </sheetViews>
  <sheetFormatPr defaultRowHeight="14.5" x14ac:dyDescent="0.35"/>
  <cols>
    <col min="1" max="1" width="8" customWidth="1"/>
    <col min="2" max="3" width="12" customWidth="1"/>
    <col min="4" max="5" width="8.984375E-2" customWidth="1"/>
    <col min="6" max="6" width="14" customWidth="1"/>
    <col min="7" max="7" width="12" customWidth="1"/>
    <col min="8" max="8" width="16" customWidth="1"/>
    <col min="9" max="10" width="14" customWidth="1"/>
    <col min="11" max="11" width="50" customWidth="1"/>
    <col min="12" max="12" width="8.984375E-2" customWidth="1"/>
  </cols>
  <sheetData>
    <row r="1" spans="1:4" ht="30" customHeight="1" x14ac:dyDescent="0.35">
      <c r="A1" s="32" t="s">
        <v>0</v>
      </c>
      <c r="B1" s="33"/>
      <c r="C1" s="33"/>
      <c r="D1" s="33"/>
    </row>
    <row r="3" spans="1:4" ht="22" customHeight="1" x14ac:dyDescent="0.4">
      <c r="A3" s="37" t="s">
        <v>1</v>
      </c>
      <c r="B3" s="33"/>
      <c r="C3" s="33"/>
      <c r="D3" s="33"/>
    </row>
    <row r="4" spans="1:4" ht="20" customHeight="1" x14ac:dyDescent="0.35">
      <c r="A4" s="1" t="s">
        <v>2</v>
      </c>
      <c r="B4" s="2">
        <v>10000</v>
      </c>
      <c r="C4" s="3" t="s">
        <v>3</v>
      </c>
    </row>
    <row r="5" spans="1:4" ht="20" customHeight="1" x14ac:dyDescent="0.35">
      <c r="A5" s="1" t="s">
        <v>4</v>
      </c>
      <c r="B5" s="2">
        <v>50</v>
      </c>
      <c r="C5" s="3" t="s">
        <v>5</v>
      </c>
    </row>
    <row r="6" spans="1:4" ht="20" customHeight="1" x14ac:dyDescent="0.35">
      <c r="A6" s="1" t="s">
        <v>6</v>
      </c>
      <c r="B6" s="4">
        <v>75</v>
      </c>
      <c r="C6" s="3" t="s">
        <v>7</v>
      </c>
    </row>
    <row r="7" spans="1:4" ht="20" customHeight="1" x14ac:dyDescent="0.35">
      <c r="A7" s="1" t="s">
        <v>8</v>
      </c>
      <c r="B7" s="5">
        <v>10</v>
      </c>
      <c r="C7" s="3" t="s">
        <v>9</v>
      </c>
    </row>
    <row r="8" spans="1:4" ht="20" customHeight="1" x14ac:dyDescent="0.35">
      <c r="A8" s="1" t="s">
        <v>10</v>
      </c>
      <c r="B8" s="4">
        <v>30</v>
      </c>
      <c r="C8" s="3" t="s">
        <v>11</v>
      </c>
    </row>
    <row r="10" spans="1:4" ht="22" customHeight="1" x14ac:dyDescent="0.4">
      <c r="A10" s="39" t="s">
        <v>12</v>
      </c>
      <c r="B10" s="33"/>
      <c r="C10" s="33"/>
      <c r="D10" s="33"/>
    </row>
    <row r="11" spans="1:4" ht="18" customHeight="1" x14ac:dyDescent="0.35">
      <c r="A11" s="6" t="s">
        <v>13</v>
      </c>
      <c r="B11" s="7">
        <f>$B$4</f>
        <v>10000</v>
      </c>
    </row>
    <row r="12" spans="1:4" ht="18" customHeight="1" x14ac:dyDescent="0.35">
      <c r="A12" s="6" t="s">
        <v>8</v>
      </c>
      <c r="B12" s="8">
        <f>$B$7</f>
        <v>10</v>
      </c>
    </row>
    <row r="13" spans="1:4" ht="18" customHeight="1" x14ac:dyDescent="0.35">
      <c r="A13" s="6" t="s">
        <v>14</v>
      </c>
      <c r="B13" s="7">
        <f>SUM(F21:F40)</f>
        <v>10000</v>
      </c>
    </row>
    <row r="14" spans="1:4" ht="18" customHeight="1" x14ac:dyDescent="0.35">
      <c r="A14" s="6" t="s">
        <v>15</v>
      </c>
      <c r="B14" s="7">
        <f>SUM(H46:H65)</f>
        <v>17500</v>
      </c>
    </row>
    <row r="15" spans="1:4" ht="18" customHeight="1" x14ac:dyDescent="0.35">
      <c r="A15" s="6" t="s">
        <v>16</v>
      </c>
      <c r="B15" s="9">
        <f>B14-B13</f>
        <v>7500</v>
      </c>
    </row>
    <row r="16" spans="1:4" ht="18" customHeight="1" x14ac:dyDescent="0.35">
      <c r="A16" s="6" t="s">
        <v>17</v>
      </c>
      <c r="B16" s="10">
        <f>IF(B13&gt;0,(B15/B13)*100,0)</f>
        <v>75</v>
      </c>
    </row>
    <row r="17" spans="1:11" ht="18" customHeight="1" x14ac:dyDescent="0.35">
      <c r="A17" s="6" t="s">
        <v>18</v>
      </c>
      <c r="B17" s="11">
        <f>SUM(G21:G40)</f>
        <v>254.81113982705659</v>
      </c>
    </row>
    <row r="18" spans="1:11" ht="18" customHeight="1" x14ac:dyDescent="0.35">
      <c r="A18" s="6" t="s">
        <v>19</v>
      </c>
      <c r="B18" s="11">
        <f>SUM(G46:G65)</f>
        <v>254.81113982705659</v>
      </c>
    </row>
    <row r="20" spans="1:11" ht="22" customHeight="1" x14ac:dyDescent="0.4">
      <c r="A20" s="35" t="s">
        <v>20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x14ac:dyDescent="0.35">
      <c r="A21" s="12">
        <v>1</v>
      </c>
      <c r="B21" s="13">
        <f>IF(1&lt;=$B$7,Helpers!$B$6+(Helpers!$B$5-Helpers!$B$6)*(1-1)/(IF($B$7&gt;1,$B$7-1,1)),0)</f>
        <v>35</v>
      </c>
      <c r="C21" s="14">
        <f>IF(1&lt;=$B$7,EXP(2-2*(1-1)/(IF($B$7&gt;1,$B$7-1,1))),0)</f>
        <v>7.3890560989306504</v>
      </c>
      <c r="D21" s="14">
        <f>IF(1&lt;=$B$7,IF(SUM(C21:C40)&gt;0,C21/SUM(C21:C40),0),0)</f>
        <v>0.22348076591333535</v>
      </c>
      <c r="E21" s="15">
        <f>IF(1&lt;=$B$7,IF(ISNUMBER(D21),$B$4*D21,0),0)</f>
        <v>2234.8076591333534</v>
      </c>
      <c r="F21" s="13">
        <f>IF(1&lt;=$B$7,IF(AND(ISNUMBER(E21),SUM(E21:E40)&gt;0),E21*($B$4/SUM(E21:E40)),0),0)</f>
        <v>2234.8076591333534</v>
      </c>
      <c r="G21" s="16">
        <f>IF(1&lt;=$B$7,IF(B21&gt;0,F21/B21,0),0)</f>
        <v>63.851647403810098</v>
      </c>
      <c r="H21" s="13">
        <f>F21</f>
        <v>2234.8076591333534</v>
      </c>
      <c r="I21" s="16">
        <f>G21</f>
        <v>63.851647403810098</v>
      </c>
      <c r="J21" s="13">
        <f>IF(1&lt;=$B$7,IF(I21&gt;0,H21/I21,0),0)</f>
        <v>35</v>
      </c>
      <c r="K21" t="str">
        <f t="shared" ref="K21:K40" si="0">IF(AND(A21&lt;=$B$7,B21&gt;0,G21&gt;0,ISNUMBER(B21),ISNUMBER(G21)),"Yes","No")</f>
        <v>Yes</v>
      </c>
    </row>
    <row r="22" spans="1:11" x14ac:dyDescent="0.35">
      <c r="A22" s="17">
        <v>2</v>
      </c>
      <c r="B22" s="18">
        <f>IF(2&lt;=$B$7,Helpers!$B$6+(Helpers!$B$5-Helpers!$B$6)*(2-1)/(IF($B$7&gt;1,$B$7-1,1)),0)</f>
        <v>36.666666666666664</v>
      </c>
      <c r="C22" s="14">
        <f>IF(2&lt;=$B$7,EXP(2-2*(2-1)/(IF($B$7&gt;1,$B$7-1,1))),0)</f>
        <v>5.9166935906643294</v>
      </c>
      <c r="D22" s="14">
        <f>IF(2&lt;=$B$7,IF(SUM(C21:C40)&gt;0,C22/SUM(C21:C40),0),0)</f>
        <v>0.17894940809930326</v>
      </c>
      <c r="E22" s="15">
        <f>IF(2&lt;=$B$7,IF(ISNUMBER(D22),$B$4*D22,0),0)</f>
        <v>1789.4940809930326</v>
      </c>
      <c r="F22" s="18">
        <f>IF(2&lt;=$B$7,IF(AND(ISNUMBER(E22),SUM(E21:E40)&gt;0),E22*($B$4/SUM(E21:E40)),0),0)</f>
        <v>1789.4940809930326</v>
      </c>
      <c r="G22" s="19">
        <f>IF(2&lt;=$B$7,IF(B22&gt;0,F22/B22,0),0)</f>
        <v>48.804384027082712</v>
      </c>
      <c r="H22" s="18">
        <f>IF(2&lt;=$B$7,F22+H21,0)</f>
        <v>4024.301740126386</v>
      </c>
      <c r="I22" s="19">
        <f>IF(2&lt;=$B$7,G22+I21,0)</f>
        <v>112.65603143089281</v>
      </c>
      <c r="J22" s="18">
        <f>IF(2&lt;=$B$7,IF(I22&gt;0,H22/I22,0),0)</f>
        <v>35.722026499708846</v>
      </c>
      <c r="K22" t="str">
        <f t="shared" si="0"/>
        <v>Yes</v>
      </c>
    </row>
    <row r="23" spans="1:11" x14ac:dyDescent="0.35">
      <c r="A23" s="17">
        <v>3</v>
      </c>
      <c r="B23" s="18">
        <f>IF(3&lt;=$B$7,Helpers!$B$6+(Helpers!$B$5-Helpers!$B$6)*(3-1)/(IF($B$7&gt;1,$B$7-1,1)),0)</f>
        <v>38.333333333333336</v>
      </c>
      <c r="C23" s="14">
        <f>IF(3&lt;=$B$7,EXP(2-2*(3-1)/(IF($B$7&gt;1,$B$7-1,1))),0)</f>
        <v>4.7377178596430793</v>
      </c>
      <c r="D23" s="14">
        <f>IF(3&lt;=$B$7,IF(SUM(C21:C40)&gt;0,C23/SUM(C21:C40),0),0)</f>
        <v>0.14329148429493613</v>
      </c>
      <c r="E23" s="15">
        <f>IF(3&lt;=$B$7,IF(ISNUMBER(D23),$B$4*D23,0),0)</f>
        <v>1432.9148429493612</v>
      </c>
      <c r="F23" s="18">
        <f>IF(3&lt;=$B$7,IF(AND(ISNUMBER(E23),SUM(E21:E40)&gt;0),E23*($B$4/SUM(E21:E40)),0),0)</f>
        <v>1432.9148429493612</v>
      </c>
      <c r="G23" s="19">
        <f>IF(3&lt;=$B$7,IF(B23&gt;0,F23/B23,0),0)</f>
        <v>37.380387207374639</v>
      </c>
      <c r="H23" s="18">
        <f>IF(3&lt;=$B$7,F23+H22,0)</f>
        <v>5457.2165830757476</v>
      </c>
      <c r="I23" s="19">
        <f>IF(3&lt;=$B$7,G23+I22,0)</f>
        <v>150.03641863826743</v>
      </c>
      <c r="J23" s="18">
        <f>IF(3&lt;=$B$7,IF(I23&gt;0,H23/I23,0),0)</f>
        <v>36.37261294694661</v>
      </c>
      <c r="K23" t="str">
        <f t="shared" si="0"/>
        <v>Yes</v>
      </c>
    </row>
    <row r="24" spans="1:11" x14ac:dyDescent="0.35">
      <c r="A24" s="17">
        <v>4</v>
      </c>
      <c r="B24" s="18">
        <f>IF(4&lt;=$B$7,Helpers!$B$6+(Helpers!$B$5-Helpers!$B$6)*(4-1)/(IF($B$7&gt;1,$B$7-1,1)),0)</f>
        <v>40</v>
      </c>
      <c r="C24" s="14">
        <f>IF(4&lt;=$B$7,EXP(2-2*(4-1)/(IF($B$7&gt;1,$B$7-1,1))),0)</f>
        <v>3.7936678946831783</v>
      </c>
      <c r="D24" s="14">
        <f>IF(4&lt;=$B$7,IF(SUM(C21:C40)&gt;0,C24/SUM(C21:C40),0),0)</f>
        <v>0.11473885099442174</v>
      </c>
      <c r="E24" s="15">
        <f>IF(4&lt;=$B$7,IF(ISNUMBER(D24),$B$4*D24,0),0)</f>
        <v>1147.3885099442175</v>
      </c>
      <c r="F24" s="18">
        <f>IF(4&lt;=$B$7,IF(AND(ISNUMBER(E24),SUM(E21:E40)&gt;0),E24*($B$4/SUM(E21:E40)),0),0)</f>
        <v>1147.3885099442175</v>
      </c>
      <c r="G24" s="19">
        <f>IF(4&lt;=$B$7,IF(B24&gt;0,F24/B24,0),0)</f>
        <v>28.684712748605438</v>
      </c>
      <c r="H24" s="18">
        <f>IF(4&lt;=$B$7,F24+H23,0)</f>
        <v>6604.6050930199654</v>
      </c>
      <c r="I24" s="19">
        <f>IF(4&lt;=$B$7,G24+I23,0)</f>
        <v>178.72113138687288</v>
      </c>
      <c r="J24" s="18">
        <f>IF(4&lt;=$B$7,IF(I24&gt;0,H24/I24,0),0)</f>
        <v>36.954807983635419</v>
      </c>
      <c r="K24" t="str">
        <f t="shared" si="0"/>
        <v>Yes</v>
      </c>
    </row>
    <row r="25" spans="1:11" x14ac:dyDescent="0.35">
      <c r="A25" s="17">
        <v>5</v>
      </c>
      <c r="B25" s="18">
        <f>IF(5&lt;=$B$7,Helpers!$B$6+(Helpers!$B$5-Helpers!$B$6)*(5-1)/(IF($B$7&gt;1,$B$7-1,1)),0)</f>
        <v>41.666666666666664</v>
      </c>
      <c r="C25" s="14">
        <f>IF(5&lt;=$B$7,EXP(2-2*(5-1)/(IF($B$7&gt;1,$B$7-1,1))),0)</f>
        <v>3.0377317775174828</v>
      </c>
      <c r="D25" s="14">
        <f>IF(5&lt;=$B$7,IF(SUM(C21:C40)&gt;0,C25/SUM(C21:C40),0),0)</f>
        <v>9.1875689558931883E-2</v>
      </c>
      <c r="E25" s="15">
        <f>IF(5&lt;=$B$7,IF(ISNUMBER(D25),$B$4*D25,0),0)</f>
        <v>918.75689558931879</v>
      </c>
      <c r="F25" s="18">
        <f>IF(5&lt;=$B$7,IF(AND(ISNUMBER(E25),SUM(E21:E40)&gt;0),E25*($B$4/SUM(E21:E40)),0),0)</f>
        <v>918.75689558931879</v>
      </c>
      <c r="G25" s="19">
        <f>IF(5&lt;=$B$7,IF(B25&gt;0,F25/B25,0),0)</f>
        <v>22.050165494143652</v>
      </c>
      <c r="H25" s="18">
        <f>IF(5&lt;=$B$7,F25+H24,0)</f>
        <v>7523.3619886092838</v>
      </c>
      <c r="I25" s="19">
        <f>IF(5&lt;=$B$7,G25+I24,0)</f>
        <v>200.77129688101653</v>
      </c>
      <c r="J25" s="18">
        <f>IF(5&lt;=$B$7,IF(I25&gt;0,H25/I25,0),0)</f>
        <v>37.472298607842674</v>
      </c>
      <c r="K25" t="str">
        <f t="shared" si="0"/>
        <v>Yes</v>
      </c>
    </row>
    <row r="26" spans="1:11" x14ac:dyDescent="0.35">
      <c r="A26" s="17">
        <v>6</v>
      </c>
      <c r="B26" s="18">
        <f>IF(6&lt;=$B$7,Helpers!$B$6+(Helpers!$B$5-Helpers!$B$6)*(6-1)/(IF($B$7&gt;1,$B$7-1,1)),0)</f>
        <v>43.333333333333336</v>
      </c>
      <c r="C26" s="14">
        <f>IF(6&lt;=$B$7,EXP(2-2*(6-1)/(IF($B$7&gt;1,$B$7-1,1))),0)</f>
        <v>2.4324254542872077</v>
      </c>
      <c r="D26" s="14">
        <f>IF(6&lt;=$B$7,IF(SUM(C21:C40)&gt;0,C26/SUM(C21:C40),0),0)</f>
        <v>7.3568301048609994E-2</v>
      </c>
      <c r="E26" s="15">
        <f>IF(6&lt;=$B$7,IF(ISNUMBER(D26),$B$4*D26,0),0)</f>
        <v>735.68301048609999</v>
      </c>
      <c r="F26" s="18">
        <f>IF(6&lt;=$B$7,IF(AND(ISNUMBER(E26),SUM(E21:E40)&gt;0),E26*($B$4/SUM(E21:E40)),0),0)</f>
        <v>735.68301048609999</v>
      </c>
      <c r="G26" s="19">
        <f>IF(6&lt;=$B$7,IF(B26&gt;0,F26/B26,0),0)</f>
        <v>16.977300241986921</v>
      </c>
      <c r="H26" s="18">
        <f>IF(6&lt;=$B$7,F26+H25,0)</f>
        <v>8259.0449990953839</v>
      </c>
      <c r="I26" s="19">
        <f>IF(6&lt;=$B$7,G26+I25,0)</f>
        <v>217.74859712300344</v>
      </c>
      <c r="J26" s="18">
        <f>IF(6&lt;=$B$7,IF(I26&gt;0,H26/I26,0),0)</f>
        <v>37.929268469316263</v>
      </c>
      <c r="K26" t="str">
        <f t="shared" si="0"/>
        <v>Yes</v>
      </c>
    </row>
    <row r="27" spans="1:11" x14ac:dyDescent="0.35">
      <c r="A27" s="17">
        <v>7</v>
      </c>
      <c r="B27" s="18">
        <f>IF(7&lt;=$B$7,Helpers!$B$6+(Helpers!$B$5-Helpers!$B$6)*(7-1)/(IF($B$7&gt;1,$B$7-1,1)),0)</f>
        <v>45</v>
      </c>
      <c r="C27" s="14">
        <f>IF(7&lt;=$B$7,EXP(2-2*(7-1)/(IF($B$7&gt;1,$B$7-1,1))),0)</f>
        <v>1.947734041054676</v>
      </c>
      <c r="D27" s="14">
        <f>IF(7&lt;=$B$7,IF(SUM(C21:C40)&gt;0,C27/SUM(C21:C40),0),0)</f>
        <v>5.8908890318665863E-2</v>
      </c>
      <c r="E27" s="15">
        <f>IF(7&lt;=$B$7,IF(ISNUMBER(D27),$B$4*D27,0),0)</f>
        <v>589.08890318665863</v>
      </c>
      <c r="F27" s="18">
        <f>IF(7&lt;=$B$7,IF(AND(ISNUMBER(E27),SUM(E21:E40)&gt;0),E27*($B$4/SUM(E21:E40)),0),0)</f>
        <v>589.08890318665863</v>
      </c>
      <c r="G27" s="19">
        <f>IF(7&lt;=$B$7,IF(B27&gt;0,F27/B27,0),0)</f>
        <v>13.090864515259081</v>
      </c>
      <c r="H27" s="18">
        <f>IF(7&lt;=$B$7,F27+H26,0)</f>
        <v>8848.133902282043</v>
      </c>
      <c r="I27" s="19">
        <f>IF(7&lt;=$B$7,G27+I26,0)</f>
        <v>230.83946163826252</v>
      </c>
      <c r="J27" s="18">
        <f>IF(7&lt;=$B$7,IF(I27&gt;0,H27/I27,0),0)</f>
        <v>38.330248387719472</v>
      </c>
      <c r="K27" t="str">
        <f t="shared" si="0"/>
        <v>Yes</v>
      </c>
    </row>
    <row r="28" spans="1:11" x14ac:dyDescent="0.35">
      <c r="A28" s="17">
        <v>8</v>
      </c>
      <c r="B28" s="18">
        <f>IF(8&lt;=$B$7,Helpers!$B$6+(Helpers!$B$5-Helpers!$B$6)*(8-1)/(IF($B$7&gt;1,$B$7-1,1)),0)</f>
        <v>46.666666666666664</v>
      </c>
      <c r="C28" s="14">
        <f>IF(8&lt;=$B$7,EXP(2-2*(8-1)/(IF($B$7&gt;1,$B$7-1,1))),0)</f>
        <v>1.5596234976067807</v>
      </c>
      <c r="D28" s="14">
        <f>IF(8&lt;=$B$7,IF(SUM(C21:C40)&gt;0,C28/SUM(C21:C40),0),0)</f>
        <v>4.7170551842479598E-2</v>
      </c>
      <c r="E28" s="15">
        <f>IF(8&lt;=$B$7,IF(ISNUMBER(D28),$B$4*D28,0),0)</f>
        <v>471.70551842479597</v>
      </c>
      <c r="F28" s="18">
        <f>IF(8&lt;=$B$7,IF(AND(ISNUMBER(E28),SUM(E21:E40)&gt;0),E28*($B$4/SUM(E21:E40)),0),0)</f>
        <v>471.70551842479597</v>
      </c>
      <c r="G28" s="19">
        <f>IF(8&lt;=$B$7,IF(B28&gt;0,F28/B28,0),0)</f>
        <v>10.107975394817057</v>
      </c>
      <c r="H28" s="18">
        <f>IF(8&lt;=$B$7,F28+H27,0)</f>
        <v>9319.8394207068395</v>
      </c>
      <c r="I28" s="19">
        <f>IF(8&lt;=$B$7,G28+I27,0)</f>
        <v>240.94743703307958</v>
      </c>
      <c r="J28" s="18">
        <f>IF(8&lt;=$B$7,IF(I28&gt;0,H28/I28,0),0)</f>
        <v>38.679969106404407</v>
      </c>
      <c r="K28" t="str">
        <f t="shared" si="0"/>
        <v>Yes</v>
      </c>
    </row>
    <row r="29" spans="1:11" x14ac:dyDescent="0.35">
      <c r="A29" s="17">
        <v>9</v>
      </c>
      <c r="B29" s="18">
        <f>IF(9&lt;=$B$7,Helpers!$B$6+(Helpers!$B$5-Helpers!$B$6)*(9-1)/(IF($B$7&gt;1,$B$7-1,1)),0)</f>
        <v>48.333333333333336</v>
      </c>
      <c r="C29" s="14">
        <f>IF(9&lt;=$B$7,EXP(2-2*(9-1)/(IF($B$7&gt;1,$B$7-1,1))),0)</f>
        <v>1.2488488690016823</v>
      </c>
      <c r="D29" s="14">
        <f>IF(9&lt;=$B$7,IF(SUM(C21:C40)&gt;0,C29/SUM(C21:C40),0),0)</f>
        <v>3.7771225176499772E-2</v>
      </c>
      <c r="E29" s="15">
        <f>IF(9&lt;=$B$7,IF(ISNUMBER(D29),$B$4*D29,0),0)</f>
        <v>377.71225176499769</v>
      </c>
      <c r="F29" s="18">
        <f>IF(9&lt;=$B$7,IF(AND(ISNUMBER(E29),SUM(E21:E40)&gt;0),E29*($B$4/SUM(E21:E40)),0),0)</f>
        <v>377.71225176499769</v>
      </c>
      <c r="G29" s="19">
        <f>IF(9&lt;=$B$7,IF(B29&gt;0,F29/B29,0),0)</f>
        <v>7.8147362434137451</v>
      </c>
      <c r="H29" s="18">
        <f>IF(9&lt;=$B$7,F29+H28,0)</f>
        <v>9697.5516724718364</v>
      </c>
      <c r="I29" s="19">
        <f>IF(9&lt;=$B$7,G29+I28,0)</f>
        <v>248.76217327649331</v>
      </c>
      <c r="J29" s="18">
        <f>IF(9&lt;=$B$7,IF(I29&gt;0,H29/I29,0),0)</f>
        <v>38.983224598593758</v>
      </c>
      <c r="K29" t="str">
        <f t="shared" si="0"/>
        <v>Yes</v>
      </c>
    </row>
    <row r="30" spans="1:11" x14ac:dyDescent="0.35">
      <c r="A30" s="17">
        <v>10</v>
      </c>
      <c r="B30" s="18">
        <f>IF(10&lt;=$B$7,Helpers!$B$6+(Helpers!$B$5-Helpers!$B$6)*(10-1)/(IF($B$7&gt;1,$B$7-1,1)),0)</f>
        <v>50</v>
      </c>
      <c r="C30" s="14">
        <f>IF(10&lt;=$B$7,EXP(2-2*(10-1)/(IF($B$7&gt;1,$B$7-1,1))),0)</f>
        <v>1</v>
      </c>
      <c r="D30" s="14">
        <f>IF(10&lt;=$B$7,IF(SUM(C21:C40)&gt;0,C30/SUM(C21:C40),0),0)</f>
        <v>3.0244832752816378E-2</v>
      </c>
      <c r="E30" s="15">
        <f>IF(10&lt;=$B$7,IF(ISNUMBER(D30),$B$4*D30,0),0)</f>
        <v>302.44832752816376</v>
      </c>
      <c r="F30" s="18">
        <f>IF(10&lt;=$B$7,IF(AND(ISNUMBER(E30),SUM(E21:E40)&gt;0),E30*($B$4/SUM(E21:E40)),0),0)</f>
        <v>302.44832752816376</v>
      </c>
      <c r="G30" s="19">
        <f>IF(10&lt;=$B$7,IF(B30&gt;0,F30/B30,0),0)</f>
        <v>6.048966550563275</v>
      </c>
      <c r="H30" s="18">
        <f>IF(10&lt;=$B$7,F30+H29,0)</f>
        <v>10000</v>
      </c>
      <c r="I30" s="19">
        <f>IF(10&lt;=$B$7,G30+I29,0)</f>
        <v>254.81113982705659</v>
      </c>
      <c r="J30" s="18">
        <f>IF(10&lt;=$B$7,IF(I30&gt;0,H30/I30,0),0)</f>
        <v>39.244752041795039</v>
      </c>
      <c r="K30" t="str">
        <f t="shared" si="0"/>
        <v>Yes</v>
      </c>
    </row>
    <row r="31" spans="1:11" ht="15" hidden="1" customHeight="1" x14ac:dyDescent="0.35">
      <c r="A31" s="17">
        <v>11</v>
      </c>
      <c r="B31" s="18">
        <f>IF(11&lt;=$B$7,Helpers!$B$6+(Helpers!$B$5-Helpers!$B$6)*(11-1)/(IF($B$7&gt;1,$B$7-1,1)),0)</f>
        <v>0</v>
      </c>
      <c r="C31" s="14">
        <f>IF(11&lt;=$B$7,EXP(2-2*(11-1)/(IF($B$7&gt;1,$B$7-1,1))),0)</f>
        <v>0</v>
      </c>
      <c r="D31" s="14">
        <f>IF(11&lt;=$B$7,IF(SUM(C21:C40)&gt;0,C31/SUM(C21:C40),0),0)</f>
        <v>0</v>
      </c>
      <c r="E31" s="15">
        <f>IF(11&lt;=$B$7,IF(ISNUMBER(D31),$B$4*D31,0),0)</f>
        <v>0</v>
      </c>
      <c r="F31" s="18">
        <f>IF(11&lt;=$B$7,IF(AND(ISNUMBER(E31),SUM(E21:E40)&gt;0),E31*($B$4/SUM(E21:E40)),0),0)</f>
        <v>0</v>
      </c>
      <c r="G31" s="19">
        <f>IF(11&lt;=$B$7,IF(B31&gt;0,F31/B31,0),0)</f>
        <v>0</v>
      </c>
      <c r="H31" s="18">
        <f>IF(11&lt;=$B$7,F31+H30,0)</f>
        <v>0</v>
      </c>
      <c r="I31" s="19">
        <f>IF(11&lt;=$B$7,G31+I30,0)</f>
        <v>0</v>
      </c>
      <c r="J31" s="18">
        <f>IF(11&lt;=$B$7,IF(I31&gt;0,H31/I31,0),0)</f>
        <v>0</v>
      </c>
      <c r="K31" t="str">
        <f t="shared" si="0"/>
        <v>No</v>
      </c>
    </row>
    <row r="32" spans="1:11" ht="15" hidden="1" customHeight="1" x14ac:dyDescent="0.35">
      <c r="A32" s="17">
        <v>12</v>
      </c>
      <c r="B32" s="18">
        <f>IF(12&lt;=$B$7,Helpers!$B$6+(Helpers!$B$5-Helpers!$B$6)*(12-1)/(IF($B$7&gt;1,$B$7-1,1)),0)</f>
        <v>0</v>
      </c>
      <c r="C32" s="14">
        <f>IF(12&lt;=$B$7,EXP(2-2*(12-1)/(IF($B$7&gt;1,$B$7-1,1))),0)</f>
        <v>0</v>
      </c>
      <c r="D32" s="14">
        <f>IF(12&lt;=$B$7,IF(SUM(C21:C40)&gt;0,C32/SUM(C21:C40),0),0)</f>
        <v>0</v>
      </c>
      <c r="E32" s="15">
        <f>IF(12&lt;=$B$7,IF(ISNUMBER(D32),$B$4*D32,0),0)</f>
        <v>0</v>
      </c>
      <c r="F32" s="18">
        <f>IF(12&lt;=$B$7,IF(AND(ISNUMBER(E32),SUM(E21:E40)&gt;0),E32*($B$4/SUM(E21:E40)),0),0)</f>
        <v>0</v>
      </c>
      <c r="G32" s="19">
        <f>IF(12&lt;=$B$7,IF(B32&gt;0,F32/B32,0),0)</f>
        <v>0</v>
      </c>
      <c r="H32" s="18">
        <f>IF(12&lt;=$B$7,F32+H31,0)</f>
        <v>0</v>
      </c>
      <c r="I32" s="19">
        <f>IF(12&lt;=$B$7,G32+I31,0)</f>
        <v>0</v>
      </c>
      <c r="J32" s="18">
        <f>IF(12&lt;=$B$7,IF(I32&gt;0,H32/I32,0),0)</f>
        <v>0</v>
      </c>
      <c r="K32" t="str">
        <f t="shared" si="0"/>
        <v>No</v>
      </c>
    </row>
    <row r="33" spans="1:12" ht="15" hidden="1" customHeight="1" x14ac:dyDescent="0.35">
      <c r="A33" s="17">
        <v>13</v>
      </c>
      <c r="B33" s="18">
        <f>IF(13&lt;=$B$7,Helpers!$B$6+(Helpers!$B$5-Helpers!$B$6)*(13-1)/(IF($B$7&gt;1,$B$7-1,1)),0)</f>
        <v>0</v>
      </c>
      <c r="C33" s="14">
        <f>IF(13&lt;=$B$7,EXP(2-2*(13-1)/(IF($B$7&gt;1,$B$7-1,1))),0)</f>
        <v>0</v>
      </c>
      <c r="D33" s="14">
        <f>IF(13&lt;=$B$7,IF(SUM(C21:C40)&gt;0,C33/SUM(C21:C40),0),0)</f>
        <v>0</v>
      </c>
      <c r="E33" s="15">
        <f>IF(13&lt;=$B$7,IF(ISNUMBER(D33),$B$4*D33,0),0)</f>
        <v>0</v>
      </c>
      <c r="F33" s="18">
        <f>IF(13&lt;=$B$7,IF(AND(ISNUMBER(E33),SUM(E21:E40)&gt;0),E33*($B$4/SUM(E21:E40)),0),0)</f>
        <v>0</v>
      </c>
      <c r="G33" s="19">
        <f>IF(13&lt;=$B$7,IF(B33&gt;0,F33/B33,0),0)</f>
        <v>0</v>
      </c>
      <c r="H33" s="18">
        <f>IF(13&lt;=$B$7,F33+H32,0)</f>
        <v>0</v>
      </c>
      <c r="I33" s="19">
        <f>IF(13&lt;=$B$7,G33+I32,0)</f>
        <v>0</v>
      </c>
      <c r="J33" s="18">
        <f>IF(13&lt;=$B$7,IF(I33&gt;0,H33/I33,0),0)</f>
        <v>0</v>
      </c>
      <c r="K33" t="str">
        <f t="shared" si="0"/>
        <v>No</v>
      </c>
    </row>
    <row r="34" spans="1:12" ht="15" hidden="1" customHeight="1" x14ac:dyDescent="0.35">
      <c r="A34" s="17">
        <v>14</v>
      </c>
      <c r="B34" s="18">
        <f>IF(14&lt;=$B$7,Helpers!$B$6+(Helpers!$B$5-Helpers!$B$6)*(14-1)/(IF($B$7&gt;1,$B$7-1,1)),0)</f>
        <v>0</v>
      </c>
      <c r="C34" s="14">
        <f>IF(14&lt;=$B$7,EXP(2-2*(14-1)/(IF($B$7&gt;1,$B$7-1,1))),0)</f>
        <v>0</v>
      </c>
      <c r="D34" s="14">
        <f>IF(14&lt;=$B$7,IF(SUM(C21:C40)&gt;0,C34/SUM(C21:C40),0),0)</f>
        <v>0</v>
      </c>
      <c r="E34" s="15">
        <f>IF(14&lt;=$B$7,IF(ISNUMBER(D34),$B$4*D34,0),0)</f>
        <v>0</v>
      </c>
      <c r="F34" s="18">
        <f>IF(14&lt;=$B$7,IF(AND(ISNUMBER(E34),SUM(E21:E40)&gt;0),E34*($B$4/SUM(E21:E40)),0),0)</f>
        <v>0</v>
      </c>
      <c r="G34" s="19">
        <f>IF(14&lt;=$B$7,IF(B34&gt;0,F34/B34,0),0)</f>
        <v>0</v>
      </c>
      <c r="H34" s="18">
        <f>IF(14&lt;=$B$7,F34+H33,0)</f>
        <v>0</v>
      </c>
      <c r="I34" s="19">
        <f>IF(14&lt;=$B$7,G34+I33,0)</f>
        <v>0</v>
      </c>
      <c r="J34" s="18">
        <f>IF(14&lt;=$B$7,IF(I34&gt;0,H34/I34,0),0)</f>
        <v>0</v>
      </c>
      <c r="K34" t="str">
        <f t="shared" si="0"/>
        <v>No</v>
      </c>
    </row>
    <row r="35" spans="1:12" ht="15" hidden="1" customHeight="1" x14ac:dyDescent="0.35">
      <c r="A35" s="17">
        <v>15</v>
      </c>
      <c r="B35" s="18">
        <f>IF(15&lt;=$B$7,Helpers!$B$6+(Helpers!$B$5-Helpers!$B$6)*(15-1)/(IF($B$7&gt;1,$B$7-1,1)),0)</f>
        <v>0</v>
      </c>
      <c r="C35" s="14">
        <f>IF(15&lt;=$B$7,EXP(2-2*(15-1)/(IF($B$7&gt;1,$B$7-1,1))),0)</f>
        <v>0</v>
      </c>
      <c r="D35" s="14">
        <f>IF(15&lt;=$B$7,IF(SUM(C21:C40)&gt;0,C35/SUM(C21:C40),0),0)</f>
        <v>0</v>
      </c>
      <c r="E35" s="15">
        <f>IF(15&lt;=$B$7,IF(ISNUMBER(D35),$B$4*D35,0),0)</f>
        <v>0</v>
      </c>
      <c r="F35" s="18">
        <f>IF(15&lt;=$B$7,IF(AND(ISNUMBER(E35),SUM(E21:E40)&gt;0),E35*($B$4/SUM(E21:E40)),0),0)</f>
        <v>0</v>
      </c>
      <c r="G35" s="19">
        <f>IF(15&lt;=$B$7,IF(B35&gt;0,F35/B35,0),0)</f>
        <v>0</v>
      </c>
      <c r="H35" s="18">
        <f>IF(15&lt;=$B$7,F35+H34,0)</f>
        <v>0</v>
      </c>
      <c r="I35" s="19">
        <f>IF(15&lt;=$B$7,G35+I34,0)</f>
        <v>0</v>
      </c>
      <c r="J35" s="18">
        <f>IF(15&lt;=$B$7,IF(I35&gt;0,H35/I35,0),0)</f>
        <v>0</v>
      </c>
      <c r="K35" t="str">
        <f t="shared" si="0"/>
        <v>No</v>
      </c>
    </row>
    <row r="36" spans="1:12" ht="15" hidden="1" customHeight="1" x14ac:dyDescent="0.35">
      <c r="A36" s="17">
        <v>16</v>
      </c>
      <c r="B36" s="18">
        <f>IF(16&lt;=$B$7,Helpers!$B$6+(Helpers!$B$5-Helpers!$B$6)*(16-1)/(IF($B$7&gt;1,$B$7-1,1)),0)</f>
        <v>0</v>
      </c>
      <c r="C36" s="14">
        <f>IF(16&lt;=$B$7,EXP(2-2*(16-1)/(IF($B$7&gt;1,$B$7-1,1))),0)</f>
        <v>0</v>
      </c>
      <c r="D36" s="14">
        <f>IF(16&lt;=$B$7,IF(SUM(C21:C40)&gt;0,C36/SUM(C21:C40),0),0)</f>
        <v>0</v>
      </c>
      <c r="E36" s="15">
        <f>IF(16&lt;=$B$7,IF(ISNUMBER(D36),$B$4*D36,0),0)</f>
        <v>0</v>
      </c>
      <c r="F36" s="18">
        <f>IF(16&lt;=$B$7,IF(AND(ISNUMBER(E36),SUM(E21:E40)&gt;0),E36*($B$4/SUM(E21:E40)),0),0)</f>
        <v>0</v>
      </c>
      <c r="G36" s="19">
        <f>IF(16&lt;=$B$7,IF(B36&gt;0,F36/B36,0),0)</f>
        <v>0</v>
      </c>
      <c r="H36" s="18">
        <f>IF(16&lt;=$B$7,F36+H35,0)</f>
        <v>0</v>
      </c>
      <c r="I36" s="19">
        <f>IF(16&lt;=$B$7,G36+I35,0)</f>
        <v>0</v>
      </c>
      <c r="J36" s="18">
        <f>IF(16&lt;=$B$7,IF(I36&gt;0,H36/I36,0),0)</f>
        <v>0</v>
      </c>
      <c r="K36" t="str">
        <f t="shared" si="0"/>
        <v>No</v>
      </c>
    </row>
    <row r="37" spans="1:12" ht="15" hidden="1" customHeight="1" x14ac:dyDescent="0.35">
      <c r="A37" s="17">
        <v>17</v>
      </c>
      <c r="B37" s="18">
        <f>IF(17&lt;=$B$7,Helpers!$B$6+(Helpers!$B$5-Helpers!$B$6)*(17-1)/(IF($B$7&gt;1,$B$7-1,1)),0)</f>
        <v>0</v>
      </c>
      <c r="C37" s="14">
        <f>IF(17&lt;=$B$7,EXP(2-2*(17-1)/(IF($B$7&gt;1,$B$7-1,1))),0)</f>
        <v>0</v>
      </c>
      <c r="D37" s="14">
        <f>IF(17&lt;=$B$7,IF(SUM(C21:C40)&gt;0,C37/SUM(C21:C40),0),0)</f>
        <v>0</v>
      </c>
      <c r="E37" s="15">
        <f>IF(17&lt;=$B$7,IF(ISNUMBER(D37),$B$4*D37,0),0)</f>
        <v>0</v>
      </c>
      <c r="F37" s="18">
        <f>IF(17&lt;=$B$7,IF(AND(ISNUMBER(E37),SUM(E21:E40)&gt;0),E37*($B$4/SUM(E21:E40)),0),0)</f>
        <v>0</v>
      </c>
      <c r="G37" s="19">
        <f>IF(17&lt;=$B$7,IF(B37&gt;0,F37/B37,0),0)</f>
        <v>0</v>
      </c>
      <c r="H37" s="18">
        <f>IF(17&lt;=$B$7,F37+H36,0)</f>
        <v>0</v>
      </c>
      <c r="I37" s="19">
        <f>IF(17&lt;=$B$7,G37+I36,0)</f>
        <v>0</v>
      </c>
      <c r="J37" s="18">
        <f>IF(17&lt;=$B$7,IF(I37&gt;0,H37/I37,0),0)</f>
        <v>0</v>
      </c>
      <c r="K37" t="str">
        <f t="shared" si="0"/>
        <v>No</v>
      </c>
    </row>
    <row r="38" spans="1:12" ht="15" hidden="1" customHeight="1" x14ac:dyDescent="0.35">
      <c r="A38" s="17">
        <v>18</v>
      </c>
      <c r="B38" s="18">
        <f>IF(18&lt;=$B$7,Helpers!$B$6+(Helpers!$B$5-Helpers!$B$6)*(18-1)/(IF($B$7&gt;1,$B$7-1,1)),0)</f>
        <v>0</v>
      </c>
      <c r="C38" s="14">
        <f>IF(18&lt;=$B$7,EXP(2-2*(18-1)/(IF($B$7&gt;1,$B$7-1,1))),0)</f>
        <v>0</v>
      </c>
      <c r="D38" s="14">
        <f>IF(18&lt;=$B$7,IF(SUM(C21:C40)&gt;0,C38/SUM(C21:C40),0),0)</f>
        <v>0</v>
      </c>
      <c r="E38" s="15">
        <f>IF(18&lt;=$B$7,IF(ISNUMBER(D38),$B$4*D38,0),0)</f>
        <v>0</v>
      </c>
      <c r="F38" s="18">
        <f>IF(18&lt;=$B$7,IF(AND(ISNUMBER(E38),SUM(E21:E40)&gt;0),E38*($B$4/SUM(E21:E40)),0),0)</f>
        <v>0</v>
      </c>
      <c r="G38" s="19">
        <f>IF(18&lt;=$B$7,IF(B38&gt;0,F38/B38,0),0)</f>
        <v>0</v>
      </c>
      <c r="H38" s="18">
        <f>IF(18&lt;=$B$7,F38+H37,0)</f>
        <v>0</v>
      </c>
      <c r="I38" s="19">
        <f>IF(18&lt;=$B$7,G38+I37,0)</f>
        <v>0</v>
      </c>
      <c r="J38" s="18">
        <f>IF(18&lt;=$B$7,IF(I38&gt;0,H38/I38,0),0)</f>
        <v>0</v>
      </c>
      <c r="K38" t="str">
        <f t="shared" si="0"/>
        <v>No</v>
      </c>
    </row>
    <row r="39" spans="1:12" ht="15" hidden="1" customHeight="1" x14ac:dyDescent="0.35">
      <c r="A39" s="17">
        <v>19</v>
      </c>
      <c r="B39" s="18">
        <f>IF(19&lt;=$B$7,Helpers!$B$6+(Helpers!$B$5-Helpers!$B$6)*(19-1)/(IF($B$7&gt;1,$B$7-1,1)),0)</f>
        <v>0</v>
      </c>
      <c r="C39" s="14">
        <f>IF(19&lt;=$B$7,EXP(2-2*(19-1)/(IF($B$7&gt;1,$B$7-1,1))),0)</f>
        <v>0</v>
      </c>
      <c r="D39" s="14">
        <f>IF(19&lt;=$B$7,IF(SUM(C21:C40)&gt;0,C39/SUM(C21:C40),0),0)</f>
        <v>0</v>
      </c>
      <c r="E39" s="15">
        <f>IF(19&lt;=$B$7,IF(ISNUMBER(D39),$B$4*D39,0),0)</f>
        <v>0</v>
      </c>
      <c r="F39" s="18">
        <f>IF(19&lt;=$B$7,IF(AND(ISNUMBER(E39),SUM(E21:E40)&gt;0),E39*($B$4/SUM(E21:E40)),0),0)</f>
        <v>0</v>
      </c>
      <c r="G39" s="19">
        <f>IF(19&lt;=$B$7,IF(B39&gt;0,F39/B39,0),0)</f>
        <v>0</v>
      </c>
      <c r="H39" s="18">
        <f>IF(19&lt;=$B$7,F39+H38,0)</f>
        <v>0</v>
      </c>
      <c r="I39" s="19">
        <f>IF(19&lt;=$B$7,G39+I38,0)</f>
        <v>0</v>
      </c>
      <c r="J39" s="18">
        <f>IF(19&lt;=$B$7,IF(I39&gt;0,H39/I39,0),0)</f>
        <v>0</v>
      </c>
      <c r="K39" t="str">
        <f t="shared" si="0"/>
        <v>No</v>
      </c>
    </row>
    <row r="40" spans="1:12" ht="15" hidden="1" customHeight="1" x14ac:dyDescent="0.35">
      <c r="A40" s="17">
        <v>20</v>
      </c>
      <c r="B40" s="18">
        <f>IF(20&lt;=$B$7,Helpers!$B$6+(Helpers!$B$5-Helpers!$B$6)*(20-1)/(IF($B$7&gt;1,$B$7-1,1)),0)</f>
        <v>0</v>
      </c>
      <c r="C40" s="14">
        <f>IF(20&lt;=$B$7,EXP(2-2*(20-1)/(IF($B$7&gt;1,$B$7-1,1))),0)</f>
        <v>0</v>
      </c>
      <c r="D40" s="14">
        <f>IF(20&lt;=$B$7,IF(SUM(C21:C40)&gt;0,C40/SUM(C21:C40),0),0)</f>
        <v>0</v>
      </c>
      <c r="E40" s="15">
        <f>IF(20&lt;=$B$7,IF(ISNUMBER(D40),$B$4*D40,0),0)</f>
        <v>0</v>
      </c>
      <c r="F40" s="18">
        <f>IF(20&lt;=$B$7,IF(AND(ISNUMBER(E40),SUM(E21:E40)&gt;0),E40*($B$4/SUM(E21:E40)),0),0)</f>
        <v>0</v>
      </c>
      <c r="G40" s="19">
        <f>IF(20&lt;=$B$7,IF(B40&gt;0,F40/B40,0),0)</f>
        <v>0</v>
      </c>
      <c r="H40" s="18">
        <f>IF(20&lt;=$B$7,F40+H39,0)</f>
        <v>0</v>
      </c>
      <c r="I40" s="19">
        <f>IF(20&lt;=$B$7,G40+I39,0)</f>
        <v>0</v>
      </c>
      <c r="J40" s="18">
        <f>IF(20&lt;=$B$7,IF(I40&gt;0,H40/I40,0),0)</f>
        <v>0</v>
      </c>
      <c r="K40" t="str">
        <f t="shared" si="0"/>
        <v>No</v>
      </c>
    </row>
    <row r="45" spans="1:12" ht="22" customHeight="1" x14ac:dyDescent="0.4">
      <c r="A45" s="36" t="s">
        <v>21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spans="1:12" hidden="1" x14ac:dyDescent="0.35">
      <c r="A46" s="20">
        <v>1</v>
      </c>
      <c r="B46" s="15">
        <f>IF(1&lt;=$B$7,Helpers!$B$10+Helpers!$B$7*(1-1),0)</f>
        <v>70</v>
      </c>
      <c r="C46" s="21">
        <f>IF(1&lt;=$B$7,MAX(B46*Helpers!$B$19,Helpers!$B$20+Helpers!$B$7*(1-1)),0)</f>
        <v>59.848041982780529</v>
      </c>
      <c r="D46" s="14">
        <f>IF(1&lt;=$B$7,EXP(2*(1-1)/(IF($B$7&gt;1,$B$7-1,1))),0)</f>
        <v>1</v>
      </c>
      <c r="E46" s="14">
        <f>IF(1&lt;=$B$7,IF(SUM(D46:D65)&gt;0,D46/SUM(D46:D65),0),0)</f>
        <v>3.0244832752816378E-2</v>
      </c>
      <c r="F46" s="14">
        <f>IF(1&lt;=$B$7,Helpers!$B$13*E46,0)</f>
        <v>7.7067203076238346</v>
      </c>
      <c r="G46" s="22">
        <f>IF(1&lt;=$B$7,IF(AND(ISNUMBER(F46),SUM(F46:F65)&gt;0,Helpers!$B$13&gt;0),F46*(Helpers!$B$13/SUM(F46:F65)),0),0)</f>
        <v>7.7067203076238346</v>
      </c>
      <c r="H46" s="21">
        <f>IF(1&lt;=$B$7,C46*G46,0)</f>
        <v>461.23212052021853</v>
      </c>
      <c r="I46" s="21">
        <f>H46</f>
        <v>461.23212052021853</v>
      </c>
      <c r="J46" s="22">
        <f>G46</f>
        <v>7.7067203076238346</v>
      </c>
      <c r="K46" s="21">
        <f>IF(1&lt;=$B$7,IF(J46&gt;0,I46/J46,0),0)</f>
        <v>59.848041982780529</v>
      </c>
      <c r="L46" t="str">
        <f t="shared" ref="L46:L65" si="1">IF(AND(A46&lt;=$B$7,C46&gt;0,G46&gt;0,ISNUMBER(C46),ISNUMBER(G46)),"Yes","No")</f>
        <v>Yes</v>
      </c>
    </row>
    <row r="47" spans="1:12" hidden="1" x14ac:dyDescent="0.35">
      <c r="A47" s="23">
        <v>2</v>
      </c>
      <c r="B47" s="15">
        <f>IF(2&lt;=$B$7,Helpers!$B$10+Helpers!$B$7*(2-1),0)</f>
        <v>71.666666666666671</v>
      </c>
      <c r="C47" s="24">
        <f>IF(2&lt;=$B$7,MAX(B47*Helpers!$B$19,Helpers!$B$20+Helpers!$B$7*(2-1)),0)</f>
        <v>61.272995363322927</v>
      </c>
      <c r="D47" s="14">
        <f>IF(2&lt;=$B$7,EXP(2*(2-1)/(IF($B$7&gt;1,$B$7-1,1))),0)</f>
        <v>1.2488488690016821</v>
      </c>
      <c r="E47" s="14">
        <f>IF(2&lt;=$B$7,IF(SUM(D46:D65)&gt;0,D47/SUM(D46:D65),0),0)</f>
        <v>3.7771225176499765E-2</v>
      </c>
      <c r="F47" s="14">
        <f>IF(2&lt;=$B$7,Helpers!$B$13*E47,0)</f>
        <v>9.6245289398883216</v>
      </c>
      <c r="G47" s="25">
        <f>IF(2&lt;=$B$7,IF(AND(ISNUMBER(F47),SUM(F46:F65)&gt;0,Helpers!$B$13&gt;0),F47*(Helpers!$B$13/SUM(F46:F65)),0),0)</f>
        <v>9.6245289398883216</v>
      </c>
      <c r="H47" s="24">
        <f>IF(2&lt;=$B$7,C47*G47,0)</f>
        <v>589.72371710794448</v>
      </c>
      <c r="I47" s="24">
        <f>IF(2&lt;=$B$7,H47+I46,0)</f>
        <v>1050.955837628163</v>
      </c>
      <c r="J47" s="25">
        <f>IF(2&lt;=$B$7,G47+J46,0)</f>
        <v>17.331249247512154</v>
      </c>
      <c r="K47" s="24">
        <f>IF(2&lt;=$B$7,IF(J47&gt;0,I47/J47,0),0)</f>
        <v>60.639358572436684</v>
      </c>
      <c r="L47" t="str">
        <f t="shared" si="1"/>
        <v>Yes</v>
      </c>
    </row>
    <row r="48" spans="1:12" hidden="1" x14ac:dyDescent="0.35">
      <c r="A48" s="23">
        <v>3</v>
      </c>
      <c r="B48" s="15">
        <f>IF(3&lt;=$B$7,Helpers!$B$10+Helpers!$B$7*(3-1),0)</f>
        <v>73.333333333333329</v>
      </c>
      <c r="C48" s="24">
        <f>IF(3&lt;=$B$7,MAX(B48*Helpers!$B$19,Helpers!$B$20+Helpers!$B$7*(3-1)),0)</f>
        <v>62.697948743865318</v>
      </c>
      <c r="D48" s="14">
        <f>IF(3&lt;=$B$7,EXP(2*(3-1)/(IF($B$7&gt;1,$B$7-1,1))),0)</f>
        <v>1.5596234976067807</v>
      </c>
      <c r="E48" s="14">
        <f>IF(3&lt;=$B$7,IF(SUM(D46:D65)&gt;0,D48/SUM(D46:D65),0),0)</f>
        <v>4.7170551842479598E-2</v>
      </c>
      <c r="F48" s="14">
        <f>IF(3&lt;=$B$7,Helpers!$B$13*E48,0)</f>
        <v>12.019582081253491</v>
      </c>
      <c r="G48" s="25">
        <f>IF(3&lt;=$B$7,IF(AND(ISNUMBER(F48),SUM(F46:F65)&gt;0,Helpers!$B$13&gt;0),F48*(Helpers!$B$13/SUM(F46:F65)),0),0)</f>
        <v>12.019582081253491</v>
      </c>
      <c r="H48" s="24">
        <f>IF(3&lt;=$B$7,C48*G48,0)</f>
        <v>753.60314125311334</v>
      </c>
      <c r="I48" s="24">
        <f>IF(3&lt;=$B$7,H48+I47,0)</f>
        <v>1804.5589788812763</v>
      </c>
      <c r="J48" s="25">
        <f>IF(3&lt;=$B$7,G48+J47,0)</f>
        <v>29.350831328765643</v>
      </c>
      <c r="K48" s="24">
        <f>IF(3&lt;=$B$7,IF(J48&gt;0,I48/J48,0),0)</f>
        <v>61.482380470521669</v>
      </c>
      <c r="L48" t="str">
        <f t="shared" si="1"/>
        <v>Yes</v>
      </c>
    </row>
    <row r="49" spans="1:12" hidden="1" x14ac:dyDescent="0.35">
      <c r="A49" s="23">
        <v>4</v>
      </c>
      <c r="B49" s="15">
        <f>IF(4&lt;=$B$7,Helpers!$B$10+Helpers!$B$7*(4-1),0)</f>
        <v>75</v>
      </c>
      <c r="C49" s="24">
        <f>IF(4&lt;=$B$7,MAX(B49*Helpers!$B$19,Helpers!$B$20+Helpers!$B$7*(4-1)),0)</f>
        <v>64.122902124407716</v>
      </c>
      <c r="D49" s="14">
        <f>IF(4&lt;=$B$7,EXP(2*(4-1)/(IF($B$7&gt;1,$B$7-1,1))),0)</f>
        <v>1.9477340410546757</v>
      </c>
      <c r="E49" s="14">
        <f>IF(4&lt;=$B$7,IF(SUM(D46:D65)&gt;0,D49/SUM(D46:D65),0),0)</f>
        <v>5.8908890318665856E-2</v>
      </c>
      <c r="F49" s="14">
        <f>IF(4&lt;=$B$7,Helpers!$B$13*E49,0)</f>
        <v>15.010641488046305</v>
      </c>
      <c r="G49" s="25">
        <f>IF(4&lt;=$B$7,IF(AND(ISNUMBER(F49),SUM(F46:F65)&gt;0,Helpers!$B$13&gt;0),F49*(Helpers!$B$13/SUM(F46:F65)),0),0)</f>
        <v>15.010641488046305</v>
      </c>
      <c r="H49" s="24">
        <f>IF(4&lt;=$B$7,C49*G49,0)</f>
        <v>962.52589496256701</v>
      </c>
      <c r="I49" s="24">
        <f>IF(4&lt;=$B$7,H49+I48,0)</f>
        <v>2767.0848738438435</v>
      </c>
      <c r="J49" s="25">
        <f>IF(4&lt;=$B$7,G49+J48,0)</f>
        <v>44.361472816811947</v>
      </c>
      <c r="K49" s="24">
        <f>IF(4&lt;=$B$7,IF(J49&gt;0,I49/J49,0),0)</f>
        <v>62.375856754584213</v>
      </c>
      <c r="L49" t="str">
        <f t="shared" si="1"/>
        <v>Yes</v>
      </c>
    </row>
    <row r="50" spans="1:12" hidden="1" x14ac:dyDescent="0.35">
      <c r="A50" s="23">
        <v>5</v>
      </c>
      <c r="B50" s="15">
        <f>IF(5&lt;=$B$7,Helpers!$B$10+Helpers!$B$7*(5-1),0)</f>
        <v>76.666666666666671</v>
      </c>
      <c r="C50" s="24">
        <f>IF(5&lt;=$B$7,MAX(B50*Helpers!$B$19,Helpers!$B$20+Helpers!$B$7*(5-1)),0)</f>
        <v>65.547855504950107</v>
      </c>
      <c r="D50" s="14">
        <f>IF(5&lt;=$B$7,EXP(2*(5-1)/(IF($B$7&gt;1,$B$7-1,1))),0)</f>
        <v>2.4324254542872077</v>
      </c>
      <c r="E50" s="14">
        <f>IF(5&lt;=$B$7,IF(SUM(D46:D65)&gt;0,D50/SUM(D46:D65),0),0)</f>
        <v>7.3568301048609994E-2</v>
      </c>
      <c r="F50" s="14">
        <f>IF(5&lt;=$B$7,Helpers!$B$13*E50,0)</f>
        <v>18.746022645336357</v>
      </c>
      <c r="G50" s="25">
        <f>IF(5&lt;=$B$7,IF(AND(ISNUMBER(F50),SUM(F46:F65)&gt;0,Helpers!$B$13&gt;0),F50*(Helpers!$B$13/SUM(F46:F65)),0),0)</f>
        <v>18.746022645336357</v>
      </c>
      <c r="H50" s="24">
        <f>IF(5&lt;=$B$7,C50*G50,0)</f>
        <v>1228.7615836490302</v>
      </c>
      <c r="I50" s="24">
        <f>IF(5&lt;=$B$7,H50+I49,0)</f>
        <v>3995.8464574928739</v>
      </c>
      <c r="J50" s="25">
        <f>IF(5&lt;=$B$7,G50+J49,0)</f>
        <v>63.107495462148307</v>
      </c>
      <c r="K50" s="24">
        <f>IF(5&lt;=$B$7,IF(J50&gt;0,I50/J50,0),0)</f>
        <v>63.318096023784861</v>
      </c>
      <c r="L50" t="str">
        <f t="shared" si="1"/>
        <v>Yes</v>
      </c>
    </row>
    <row r="51" spans="1:12" hidden="1" x14ac:dyDescent="0.35">
      <c r="A51" s="23">
        <v>6</v>
      </c>
      <c r="B51" s="15">
        <f>IF(6&lt;=$B$7,Helpers!$B$10+Helpers!$B$7*(6-1),0)</f>
        <v>78.333333333333329</v>
      </c>
      <c r="C51" s="24">
        <f>IF(6&lt;=$B$7,MAX(B51*Helpers!$B$19,Helpers!$B$20+Helpers!$B$7*(6-1)),0)</f>
        <v>66.972808885492498</v>
      </c>
      <c r="D51" s="14">
        <f>IF(6&lt;=$B$7,EXP(2*(6-1)/(IF($B$7&gt;1,$B$7-1,1))),0)</f>
        <v>3.0377317775174828</v>
      </c>
      <c r="E51" s="14">
        <f>IF(6&lt;=$B$7,IF(SUM(D46:D65)&gt;0,D51/SUM(D46:D65),0),0)</f>
        <v>9.1875689558931883E-2</v>
      </c>
      <c r="F51" s="14">
        <f>IF(6&lt;=$B$7,Helpers!$B$13*E51,0)</f>
        <v>23.410949178908236</v>
      </c>
      <c r="G51" s="25">
        <f>IF(6&lt;=$B$7,IF(AND(ISNUMBER(F51),SUM(F46:F65)&gt;0,Helpers!$B$13&gt;0),F51*(Helpers!$B$13/SUM(F46:F65)),0),0)</f>
        <v>23.410949178908236</v>
      </c>
      <c r="H51" s="24">
        <f>IF(6&lt;=$B$7,C51*G51,0)</f>
        <v>1567.8970251869989</v>
      </c>
      <c r="I51" s="24">
        <f>IF(6&lt;=$B$7,H51+I50,0)</f>
        <v>5563.7434826798726</v>
      </c>
      <c r="J51" s="25">
        <f>IF(6&lt;=$B$7,G51+J50,0)</f>
        <v>86.518444641056547</v>
      </c>
      <c r="K51" s="24">
        <f>IF(6&lt;=$B$7,IF(J51&gt;0,I51/J51,0),0)</f>
        <v>64.307021534684964</v>
      </c>
      <c r="L51" t="str">
        <f t="shared" si="1"/>
        <v>Yes</v>
      </c>
    </row>
    <row r="52" spans="1:12" hidden="1" x14ac:dyDescent="0.35">
      <c r="A52" s="23">
        <v>7</v>
      </c>
      <c r="B52" s="15">
        <f>IF(7&lt;=$B$7,Helpers!$B$10+Helpers!$B$7*(7-1),0)</f>
        <v>80</v>
      </c>
      <c r="C52" s="24">
        <f>IF(7&lt;=$B$7,MAX(B52*Helpers!$B$19,Helpers!$B$20+Helpers!$B$7*(7-1)),0)</f>
        <v>68.397762266034889</v>
      </c>
      <c r="D52" s="14">
        <f>IF(7&lt;=$B$7,EXP(2*(7-1)/(IF($B$7&gt;1,$B$7-1,1))),0)</f>
        <v>3.7936678946831774</v>
      </c>
      <c r="E52" s="14">
        <f>IF(7&lt;=$B$7,IF(SUM(D46:D65)&gt;0,D52/SUM(D46:D65),0),0)</f>
        <v>0.11473885099442171</v>
      </c>
      <c r="F52" s="14">
        <f>IF(7&lt;=$B$7,Helpers!$B$13*E52,0)</f>
        <v>29.236737404335404</v>
      </c>
      <c r="G52" s="25">
        <f>IF(7&lt;=$B$7,IF(AND(ISNUMBER(F52),SUM(F46:F65)&gt;0,Helpers!$B$13&gt;0),F52*(Helpers!$B$13/SUM(F46:F65)),0),0)</f>
        <v>29.236737404335404</v>
      </c>
      <c r="H52" s="24">
        <f>IF(7&lt;=$B$7,C52*G52,0)</f>
        <v>1999.7274144162229</v>
      </c>
      <c r="I52" s="24">
        <f>IF(7&lt;=$B$7,H52+I51,0)</f>
        <v>7563.4708970960955</v>
      </c>
      <c r="J52" s="25">
        <f>IF(7&lt;=$B$7,G52+J51,0)</f>
        <v>115.75518204539195</v>
      </c>
      <c r="K52" s="24">
        <f>IF(7&lt;=$B$7,IF(J52&gt;0,I52/J52,0),0)</f>
        <v>65.34023586201242</v>
      </c>
      <c r="L52" t="str">
        <f t="shared" si="1"/>
        <v>Yes</v>
      </c>
    </row>
    <row r="53" spans="1:12" hidden="1" x14ac:dyDescent="0.35">
      <c r="A53" s="23">
        <v>8</v>
      </c>
      <c r="B53" s="15">
        <f>IF(8&lt;=$B$7,Helpers!$B$10+Helpers!$B$7*(8-1),0)</f>
        <v>81.666666666666671</v>
      </c>
      <c r="C53" s="24">
        <f>IF(8&lt;=$B$7,MAX(B53*Helpers!$B$19,Helpers!$B$20+Helpers!$B$7*(8-1)),0)</f>
        <v>69.822715646577294</v>
      </c>
      <c r="D53" s="14">
        <f>IF(8&lt;=$B$7,EXP(2*(8-1)/(IF($B$7&gt;1,$B$7-1,1))),0)</f>
        <v>4.7377178596430793</v>
      </c>
      <c r="E53" s="14">
        <f>IF(8&lt;=$B$7,IF(SUM(D46:D65)&gt;0,D53/SUM(D46:D65),0),0)</f>
        <v>0.14329148429493613</v>
      </c>
      <c r="F53" s="14">
        <f>IF(8&lt;=$B$7,Helpers!$B$13*E53,0)</f>
        <v>36.512266440703456</v>
      </c>
      <c r="G53" s="25">
        <f>IF(8&lt;=$B$7,IF(AND(ISNUMBER(F53),SUM(F46:F65)&gt;0,Helpers!$B$13&gt;0),F53*(Helpers!$B$13/SUM(F46:F65)),0),0)</f>
        <v>36.512266440703456</v>
      </c>
      <c r="H53" s="24">
        <f>IF(8&lt;=$B$7,C53*G53,0)</f>
        <v>2549.3855973013042</v>
      </c>
      <c r="I53" s="24">
        <f>IF(8&lt;=$B$7,H53+I52,0)</f>
        <v>10112.8564943974</v>
      </c>
      <c r="J53" s="25">
        <f>IF(8&lt;=$B$7,G53+J52,0)</f>
        <v>152.26744848609542</v>
      </c>
      <c r="K53" s="24">
        <f>IF(8&lt;=$B$7,IF(J53&gt;0,I53/J53,0),0)</f>
        <v>66.415091307718825</v>
      </c>
      <c r="L53" t="str">
        <f t="shared" si="1"/>
        <v>Yes</v>
      </c>
    </row>
    <row r="54" spans="1:12" hidden="1" x14ac:dyDescent="0.35">
      <c r="A54" s="23">
        <v>9</v>
      </c>
      <c r="B54" s="15">
        <f>IF(9&lt;=$B$7,Helpers!$B$10+Helpers!$B$7*(9-1),0)</f>
        <v>83.333333333333329</v>
      </c>
      <c r="C54" s="24">
        <f>IF(9&lt;=$B$7,MAX(B54*Helpers!$B$19,Helpers!$B$20+Helpers!$B$7*(9-1)),0)</f>
        <v>71.24766902711967</v>
      </c>
      <c r="D54" s="14">
        <f>IF(9&lt;=$B$7,EXP(2*(9-1)/(IF($B$7&gt;1,$B$7-1,1))),0)</f>
        <v>5.9166935906643294</v>
      </c>
      <c r="E54" s="14">
        <f>IF(9&lt;=$B$7,IF(SUM(D46:D65)&gt;0,D54/SUM(D46:D65),0),0)</f>
        <v>0.17894940809930326</v>
      </c>
      <c r="F54" s="14">
        <f>IF(9&lt;=$B$7,Helpers!$B$13*E54,0)</f>
        <v>45.59830264916058</v>
      </c>
      <c r="G54" s="25">
        <f>IF(9&lt;=$B$7,IF(AND(ISNUMBER(F54),SUM(F46:F65)&gt;0,Helpers!$B$13&gt;0),F54*(Helpers!$B$13/SUM(F46:F65)),0),0)</f>
        <v>45.59830264916058</v>
      </c>
      <c r="H54" s="24">
        <f>IF(9&lt;=$B$7,C54*G54,0)</f>
        <v>3248.7727753458271</v>
      </c>
      <c r="I54" s="24">
        <f>IF(9&lt;=$B$7,H54+I53,0)</f>
        <v>13361.629269743227</v>
      </c>
      <c r="J54" s="25">
        <f>IF(9&lt;=$B$7,G54+J53,0)</f>
        <v>197.865751135256</v>
      </c>
      <c r="K54" s="24">
        <f>IF(9&lt;=$B$7,IF(J54&gt;0,I54/J54,0),0)</f>
        <v>67.528762269775314</v>
      </c>
      <c r="L54" t="str">
        <f t="shared" si="1"/>
        <v>Yes</v>
      </c>
    </row>
    <row r="55" spans="1:12" hidden="1" x14ac:dyDescent="0.35">
      <c r="A55" s="23">
        <v>10</v>
      </c>
      <c r="B55" s="15">
        <f>IF(10&lt;=$B$7,Helpers!$B$10+Helpers!$B$7*(10-1),0)</f>
        <v>85</v>
      </c>
      <c r="C55" s="24">
        <f>IF(10&lt;=$B$7,MAX(B55*Helpers!$B$19,Helpers!$B$20+Helpers!$B$7*(10-1)),0)</f>
        <v>72.672622407662075</v>
      </c>
      <c r="D55" s="14">
        <f>IF(10&lt;=$B$7,EXP(2*(10-1)/(IF($B$7&gt;1,$B$7-1,1))),0)</f>
        <v>7.3890560989306504</v>
      </c>
      <c r="E55" s="14">
        <f>IF(10&lt;=$B$7,IF(SUM(D46:D65)&gt;0,D55/SUM(D46:D65),0),0)</f>
        <v>0.22348076591333535</v>
      </c>
      <c r="F55" s="14">
        <f>IF(10&lt;=$B$7,Helpers!$B$13*E55,0)</f>
        <v>56.945388691800595</v>
      </c>
      <c r="G55" s="25">
        <f>IF(10&lt;=$B$7,IF(AND(ISNUMBER(F55),SUM(F46:F65)&gt;0,Helpers!$B$13&gt;0),F55*(Helpers!$B$13/SUM(F46:F65)),0),0)</f>
        <v>56.945388691800595</v>
      </c>
      <c r="H55" s="24">
        <f>IF(10&lt;=$B$7,C55*G55,0)</f>
        <v>4138.3707302567746</v>
      </c>
      <c r="I55" s="24">
        <f>IF(10&lt;=$B$7,H55+I54,0)</f>
        <v>17500</v>
      </c>
      <c r="J55" s="25">
        <f>IF(10&lt;=$B$7,G55+J54,0)</f>
        <v>254.81113982705659</v>
      </c>
      <c r="K55" s="24">
        <f>IF(10&lt;=$B$7,IF(J55&gt;0,I55/J55,0),0)</f>
        <v>68.678316073141318</v>
      </c>
      <c r="L55" t="str">
        <f t="shared" si="1"/>
        <v>Yes</v>
      </c>
    </row>
    <row r="56" spans="1:12" ht="15" hidden="1" customHeight="1" x14ac:dyDescent="0.35">
      <c r="A56" s="23">
        <v>11</v>
      </c>
      <c r="B56" s="15">
        <f>IF(11&lt;=$B$7,Helpers!$B$10+Helpers!$B$7*(11-1),0)</f>
        <v>0</v>
      </c>
      <c r="C56" s="24">
        <f>IF(11&lt;=$B$7,MAX(B56*Helpers!$B$19,Helpers!$B$20+Helpers!$B$7*(11-1)),0)</f>
        <v>0</v>
      </c>
      <c r="D56" s="14">
        <f>IF(11&lt;=$B$7,EXP(2*(11-1)/(IF($B$7&gt;1,$B$7-1,1))),0)</f>
        <v>0</v>
      </c>
      <c r="E56" s="14">
        <f>IF(11&lt;=$B$7,IF(SUM(D46:D65)&gt;0,D56/SUM(D46:D65),0),0)</f>
        <v>0</v>
      </c>
      <c r="F56" s="14">
        <f>IF(11&lt;=$B$7,Helpers!$B$13*E56,0)</f>
        <v>0</v>
      </c>
      <c r="G56" s="25">
        <f>IF(11&lt;=$B$7,IF(AND(ISNUMBER(F56),SUM(F46:F65)&gt;0,Helpers!$B$13&gt;0),F56*(Helpers!$B$13/SUM(F46:F65)),0),0)</f>
        <v>0</v>
      </c>
      <c r="H56" s="24">
        <f>IF(11&lt;=$B$7,C56*G56,0)</f>
        <v>0</v>
      </c>
      <c r="I56" s="24">
        <f>IF(11&lt;=$B$7,H56+I55,0)</f>
        <v>0</v>
      </c>
      <c r="J56" s="25">
        <f>IF(11&lt;=$B$7,G56+J55,0)</f>
        <v>0</v>
      </c>
      <c r="K56" s="24">
        <f>IF(11&lt;=$B$7,IF(J56&gt;0,I56/J56,0),0)</f>
        <v>0</v>
      </c>
      <c r="L56" t="str">
        <f t="shared" si="1"/>
        <v>No</v>
      </c>
    </row>
    <row r="57" spans="1:12" ht="15" hidden="1" customHeight="1" x14ac:dyDescent="0.35">
      <c r="A57" s="23">
        <v>12</v>
      </c>
      <c r="B57" s="15">
        <f>IF(12&lt;=$B$7,Helpers!$B$10+Helpers!$B$7*(12-1),0)</f>
        <v>0</v>
      </c>
      <c r="C57" s="24">
        <f>IF(12&lt;=$B$7,MAX(B57*Helpers!$B$19,Helpers!$B$20+Helpers!$B$7*(12-1)),0)</f>
        <v>0</v>
      </c>
      <c r="D57" s="14">
        <f>IF(12&lt;=$B$7,EXP(2*(12-1)/(IF($B$7&gt;1,$B$7-1,1))),0)</f>
        <v>0</v>
      </c>
      <c r="E57" s="14">
        <f>IF(12&lt;=$B$7,IF(SUM(D46:D65)&gt;0,D57/SUM(D46:D65),0),0)</f>
        <v>0</v>
      </c>
      <c r="F57" s="14">
        <f>IF(12&lt;=$B$7,Helpers!$B$13*E57,0)</f>
        <v>0</v>
      </c>
      <c r="G57" s="25">
        <f>IF(12&lt;=$B$7,IF(AND(ISNUMBER(F57),SUM(F46:F65)&gt;0,Helpers!$B$13&gt;0),F57*(Helpers!$B$13/SUM(F46:F65)),0),0)</f>
        <v>0</v>
      </c>
      <c r="H57" s="24">
        <f>IF(12&lt;=$B$7,C57*G57,0)</f>
        <v>0</v>
      </c>
      <c r="I57" s="24">
        <f>IF(12&lt;=$B$7,H57+I56,0)</f>
        <v>0</v>
      </c>
      <c r="J57" s="25">
        <f>IF(12&lt;=$B$7,G57+J56,0)</f>
        <v>0</v>
      </c>
      <c r="K57" s="24">
        <f>IF(12&lt;=$B$7,IF(J57&gt;0,I57/J57,0),0)</f>
        <v>0</v>
      </c>
      <c r="L57" t="str">
        <f t="shared" si="1"/>
        <v>No</v>
      </c>
    </row>
    <row r="58" spans="1:12" ht="15" hidden="1" customHeight="1" x14ac:dyDescent="0.35">
      <c r="A58" s="23">
        <v>13</v>
      </c>
      <c r="B58" s="15">
        <f>IF(13&lt;=$B$7,Helpers!$B$10+Helpers!$B$7*(13-1),0)</f>
        <v>0</v>
      </c>
      <c r="C58" s="24">
        <f>IF(13&lt;=$B$7,MAX(B58*Helpers!$B$19,Helpers!$B$20+Helpers!$B$7*(13-1)),0)</f>
        <v>0</v>
      </c>
      <c r="D58" s="14">
        <f>IF(13&lt;=$B$7,EXP(2*(13-1)/(IF($B$7&gt;1,$B$7-1,1))),0)</f>
        <v>0</v>
      </c>
      <c r="E58" s="14">
        <f>IF(13&lt;=$B$7,IF(SUM(D46:D65)&gt;0,D58/SUM(D46:D65),0),0)</f>
        <v>0</v>
      </c>
      <c r="F58" s="14">
        <f>IF(13&lt;=$B$7,Helpers!$B$13*E58,0)</f>
        <v>0</v>
      </c>
      <c r="G58" s="25">
        <f>IF(13&lt;=$B$7,IF(AND(ISNUMBER(F58),SUM(F46:F65)&gt;0,Helpers!$B$13&gt;0),F58*(Helpers!$B$13/SUM(F46:F65)),0),0)</f>
        <v>0</v>
      </c>
      <c r="H58" s="24">
        <f>IF(13&lt;=$B$7,C58*G58,0)</f>
        <v>0</v>
      </c>
      <c r="I58" s="24">
        <f>IF(13&lt;=$B$7,H58+I57,0)</f>
        <v>0</v>
      </c>
      <c r="J58" s="25">
        <f>IF(13&lt;=$B$7,G58+J57,0)</f>
        <v>0</v>
      </c>
      <c r="K58" s="24">
        <f>IF(13&lt;=$B$7,IF(J58&gt;0,I58/J58,0),0)</f>
        <v>0</v>
      </c>
      <c r="L58" t="str">
        <f t="shared" si="1"/>
        <v>No</v>
      </c>
    </row>
    <row r="59" spans="1:12" ht="15" hidden="1" customHeight="1" x14ac:dyDescent="0.35">
      <c r="A59" s="23">
        <v>14</v>
      </c>
      <c r="B59" s="15">
        <f>IF(14&lt;=$B$7,Helpers!$B$10+Helpers!$B$7*(14-1),0)</f>
        <v>0</v>
      </c>
      <c r="C59" s="24">
        <f>IF(14&lt;=$B$7,MAX(B59*Helpers!$B$19,Helpers!$B$20+Helpers!$B$7*(14-1)),0)</f>
        <v>0</v>
      </c>
      <c r="D59" s="14">
        <f>IF(14&lt;=$B$7,EXP(2*(14-1)/(IF($B$7&gt;1,$B$7-1,1))),0)</f>
        <v>0</v>
      </c>
      <c r="E59" s="14">
        <f>IF(14&lt;=$B$7,IF(SUM(D46:D65)&gt;0,D59/SUM(D46:D65),0),0)</f>
        <v>0</v>
      </c>
      <c r="F59" s="14">
        <f>IF(14&lt;=$B$7,Helpers!$B$13*E59,0)</f>
        <v>0</v>
      </c>
      <c r="G59" s="25">
        <f>IF(14&lt;=$B$7,IF(AND(ISNUMBER(F59),SUM(F46:F65)&gt;0,Helpers!$B$13&gt;0),F59*(Helpers!$B$13/SUM(F46:F65)),0),0)</f>
        <v>0</v>
      </c>
      <c r="H59" s="24">
        <f>IF(14&lt;=$B$7,C59*G59,0)</f>
        <v>0</v>
      </c>
      <c r="I59" s="24">
        <f>IF(14&lt;=$B$7,H59+I58,0)</f>
        <v>0</v>
      </c>
      <c r="J59" s="25">
        <f>IF(14&lt;=$B$7,G59+J58,0)</f>
        <v>0</v>
      </c>
      <c r="K59" s="24">
        <f>IF(14&lt;=$B$7,IF(J59&gt;0,I59/J59,0),0)</f>
        <v>0</v>
      </c>
      <c r="L59" t="str">
        <f t="shared" si="1"/>
        <v>No</v>
      </c>
    </row>
    <row r="60" spans="1:12" ht="15" hidden="1" customHeight="1" x14ac:dyDescent="0.35">
      <c r="A60" s="23">
        <v>15</v>
      </c>
      <c r="B60" s="15">
        <f>IF(15&lt;=$B$7,Helpers!$B$10+Helpers!$B$7*(15-1),0)</f>
        <v>0</v>
      </c>
      <c r="C60" s="24">
        <f>IF(15&lt;=$B$7,MAX(B60*Helpers!$B$19,Helpers!$B$20+Helpers!$B$7*(15-1)),0)</f>
        <v>0</v>
      </c>
      <c r="D60" s="14">
        <f>IF(15&lt;=$B$7,EXP(2*(15-1)/(IF($B$7&gt;1,$B$7-1,1))),0)</f>
        <v>0</v>
      </c>
      <c r="E60" s="14">
        <f>IF(15&lt;=$B$7,IF(SUM(D46:D65)&gt;0,D60/SUM(D46:D65),0),0)</f>
        <v>0</v>
      </c>
      <c r="F60" s="14">
        <f>IF(15&lt;=$B$7,Helpers!$B$13*E60,0)</f>
        <v>0</v>
      </c>
      <c r="G60" s="25">
        <f>IF(15&lt;=$B$7,IF(AND(ISNUMBER(F60),SUM(F46:F65)&gt;0,Helpers!$B$13&gt;0),F60*(Helpers!$B$13/SUM(F46:F65)),0),0)</f>
        <v>0</v>
      </c>
      <c r="H60" s="24">
        <f>IF(15&lt;=$B$7,C60*G60,0)</f>
        <v>0</v>
      </c>
      <c r="I60" s="24">
        <f>IF(15&lt;=$B$7,H60+I59,0)</f>
        <v>0</v>
      </c>
      <c r="J60" s="25">
        <f>IF(15&lt;=$B$7,G60+J59,0)</f>
        <v>0</v>
      </c>
      <c r="K60" s="24">
        <f>IF(15&lt;=$B$7,IF(J60&gt;0,I60/J60,0),0)</f>
        <v>0</v>
      </c>
      <c r="L60" t="str">
        <f t="shared" si="1"/>
        <v>No</v>
      </c>
    </row>
    <row r="61" spans="1:12" ht="15" hidden="1" customHeight="1" x14ac:dyDescent="0.35">
      <c r="A61" s="23">
        <v>16</v>
      </c>
      <c r="B61" s="15">
        <f>IF(16&lt;=$B$7,Helpers!$B$10+Helpers!$B$7*(16-1),0)</f>
        <v>0</v>
      </c>
      <c r="C61" s="24">
        <f>IF(16&lt;=$B$7,MAX(B61*Helpers!$B$19,Helpers!$B$20+Helpers!$B$7*(16-1)),0)</f>
        <v>0</v>
      </c>
      <c r="D61" s="14">
        <f>IF(16&lt;=$B$7,EXP(2*(16-1)/(IF($B$7&gt;1,$B$7-1,1))),0)</f>
        <v>0</v>
      </c>
      <c r="E61" s="14">
        <f>IF(16&lt;=$B$7,IF(SUM(D46:D65)&gt;0,D61/SUM(D46:D65),0),0)</f>
        <v>0</v>
      </c>
      <c r="F61" s="14">
        <f>IF(16&lt;=$B$7,Helpers!$B$13*E61,0)</f>
        <v>0</v>
      </c>
      <c r="G61" s="25">
        <f>IF(16&lt;=$B$7,IF(AND(ISNUMBER(F61),SUM(F46:F65)&gt;0,Helpers!$B$13&gt;0),F61*(Helpers!$B$13/SUM(F46:F65)),0),0)</f>
        <v>0</v>
      </c>
      <c r="H61" s="24">
        <f>IF(16&lt;=$B$7,C61*G61,0)</f>
        <v>0</v>
      </c>
      <c r="I61" s="24">
        <f>IF(16&lt;=$B$7,H61+I60,0)</f>
        <v>0</v>
      </c>
      <c r="J61" s="25">
        <f>IF(16&lt;=$B$7,G61+J60,0)</f>
        <v>0</v>
      </c>
      <c r="K61" s="24">
        <f>IF(16&lt;=$B$7,IF(J61&gt;0,I61/J61,0),0)</f>
        <v>0</v>
      </c>
      <c r="L61" t="str">
        <f t="shared" si="1"/>
        <v>No</v>
      </c>
    </row>
    <row r="62" spans="1:12" ht="15" hidden="1" customHeight="1" x14ac:dyDescent="0.35">
      <c r="A62" s="23">
        <v>17</v>
      </c>
      <c r="B62" s="15">
        <f>IF(17&lt;=$B$7,Helpers!$B$10+Helpers!$B$7*(17-1),0)</f>
        <v>0</v>
      </c>
      <c r="C62" s="24">
        <f>IF(17&lt;=$B$7,MAX(B62*Helpers!$B$19,Helpers!$B$20+Helpers!$B$7*(17-1)),0)</f>
        <v>0</v>
      </c>
      <c r="D62" s="14">
        <f>IF(17&lt;=$B$7,EXP(2*(17-1)/(IF($B$7&gt;1,$B$7-1,1))),0)</f>
        <v>0</v>
      </c>
      <c r="E62" s="14">
        <f>IF(17&lt;=$B$7,IF(SUM(D46:D65)&gt;0,D62/SUM(D46:D65),0),0)</f>
        <v>0</v>
      </c>
      <c r="F62" s="14">
        <f>IF(17&lt;=$B$7,Helpers!$B$13*E62,0)</f>
        <v>0</v>
      </c>
      <c r="G62" s="25">
        <f>IF(17&lt;=$B$7,IF(AND(ISNUMBER(F62),SUM(F46:F65)&gt;0,Helpers!$B$13&gt;0),F62*(Helpers!$B$13/SUM(F46:F65)),0),0)</f>
        <v>0</v>
      </c>
      <c r="H62" s="24">
        <f>IF(17&lt;=$B$7,C62*G62,0)</f>
        <v>0</v>
      </c>
      <c r="I62" s="24">
        <f>IF(17&lt;=$B$7,H62+I61,0)</f>
        <v>0</v>
      </c>
      <c r="J62" s="25">
        <f>IF(17&lt;=$B$7,G62+J61,0)</f>
        <v>0</v>
      </c>
      <c r="K62" s="24">
        <f>IF(17&lt;=$B$7,IF(J62&gt;0,I62/J62,0),0)</f>
        <v>0</v>
      </c>
      <c r="L62" t="str">
        <f t="shared" si="1"/>
        <v>No</v>
      </c>
    </row>
    <row r="63" spans="1:12" ht="15" hidden="1" customHeight="1" x14ac:dyDescent="0.35">
      <c r="A63" s="23">
        <v>18</v>
      </c>
      <c r="B63" s="15">
        <f>IF(18&lt;=$B$7,Helpers!$B$10+Helpers!$B$7*(18-1),0)</f>
        <v>0</v>
      </c>
      <c r="C63" s="24">
        <f>IF(18&lt;=$B$7,MAX(B63*Helpers!$B$19,Helpers!$B$20+Helpers!$B$7*(18-1)),0)</f>
        <v>0</v>
      </c>
      <c r="D63" s="14">
        <f>IF(18&lt;=$B$7,EXP(2*(18-1)/(IF($B$7&gt;1,$B$7-1,1))),0)</f>
        <v>0</v>
      </c>
      <c r="E63" s="14">
        <f>IF(18&lt;=$B$7,IF(SUM(D46:D65)&gt;0,D63/SUM(D46:D65),0),0)</f>
        <v>0</v>
      </c>
      <c r="F63" s="14">
        <f>IF(18&lt;=$B$7,Helpers!$B$13*E63,0)</f>
        <v>0</v>
      </c>
      <c r="G63" s="25">
        <f>IF(18&lt;=$B$7,IF(AND(ISNUMBER(F63),SUM(F46:F65)&gt;0,Helpers!$B$13&gt;0),F63*(Helpers!$B$13/SUM(F46:F65)),0),0)</f>
        <v>0</v>
      </c>
      <c r="H63" s="24">
        <f>IF(18&lt;=$B$7,C63*G63,0)</f>
        <v>0</v>
      </c>
      <c r="I63" s="24">
        <f>IF(18&lt;=$B$7,H63+I62,0)</f>
        <v>0</v>
      </c>
      <c r="J63" s="25">
        <f>IF(18&lt;=$B$7,G63+J62,0)</f>
        <v>0</v>
      </c>
      <c r="K63" s="24">
        <f>IF(18&lt;=$B$7,IF(J63&gt;0,I63/J63,0),0)</f>
        <v>0</v>
      </c>
      <c r="L63" t="str">
        <f t="shared" si="1"/>
        <v>No</v>
      </c>
    </row>
    <row r="64" spans="1:12" ht="15" hidden="1" customHeight="1" x14ac:dyDescent="0.35">
      <c r="A64" s="23">
        <v>19</v>
      </c>
      <c r="B64" s="15">
        <f>IF(19&lt;=$B$7,Helpers!$B$10+Helpers!$B$7*(19-1),0)</f>
        <v>0</v>
      </c>
      <c r="C64" s="24">
        <f>IF(19&lt;=$B$7,MAX(B64*Helpers!$B$19,Helpers!$B$20+Helpers!$B$7*(19-1)),0)</f>
        <v>0</v>
      </c>
      <c r="D64" s="14">
        <f>IF(19&lt;=$B$7,EXP(2*(19-1)/(IF($B$7&gt;1,$B$7-1,1))),0)</f>
        <v>0</v>
      </c>
      <c r="E64" s="14">
        <f>IF(19&lt;=$B$7,IF(SUM(D46:D65)&gt;0,D64/SUM(D46:D65),0),0)</f>
        <v>0</v>
      </c>
      <c r="F64" s="14">
        <f>IF(19&lt;=$B$7,Helpers!$B$13*E64,0)</f>
        <v>0</v>
      </c>
      <c r="G64" s="25">
        <f>IF(19&lt;=$B$7,IF(AND(ISNUMBER(F64),SUM(F46:F65)&gt;0,Helpers!$B$13&gt;0),F64*(Helpers!$B$13/SUM(F46:F65)),0),0)</f>
        <v>0</v>
      </c>
      <c r="H64" s="24">
        <f>IF(19&lt;=$B$7,C64*G64,0)</f>
        <v>0</v>
      </c>
      <c r="I64" s="24">
        <f>IF(19&lt;=$B$7,H64+I63,0)</f>
        <v>0</v>
      </c>
      <c r="J64" s="25">
        <f>IF(19&lt;=$B$7,G64+J63,0)</f>
        <v>0</v>
      </c>
      <c r="K64" s="24">
        <f>IF(19&lt;=$B$7,IF(J64&gt;0,I64/J64,0),0)</f>
        <v>0</v>
      </c>
      <c r="L64" t="str">
        <f t="shared" si="1"/>
        <v>No</v>
      </c>
    </row>
    <row r="65" spans="1:12" ht="15" hidden="1" customHeight="1" x14ac:dyDescent="0.35">
      <c r="A65" s="23">
        <v>20</v>
      </c>
      <c r="B65" s="15">
        <f>IF(20&lt;=$B$7,Helpers!$B$10+Helpers!$B$7*(20-1),0)</f>
        <v>0</v>
      </c>
      <c r="C65" s="24">
        <f>IF(20&lt;=$B$7,MAX(B65*Helpers!$B$19,Helpers!$B$20+Helpers!$B$7*(20-1)),0)</f>
        <v>0</v>
      </c>
      <c r="D65" s="14">
        <f>IF(20&lt;=$B$7,EXP(2*(20-1)/(IF($B$7&gt;1,$B$7-1,1))),0)</f>
        <v>0</v>
      </c>
      <c r="E65" s="14">
        <f>IF(20&lt;=$B$7,IF(SUM(D46:D65)&gt;0,D65/SUM(D46:D65),0),0)</f>
        <v>0</v>
      </c>
      <c r="F65" s="14">
        <f>IF(20&lt;=$B$7,Helpers!$B$13*E65,0)</f>
        <v>0</v>
      </c>
      <c r="G65" s="25">
        <f>IF(20&lt;=$B$7,IF(AND(ISNUMBER(F65),SUM(F46:F65)&gt;0,Helpers!$B$13&gt;0),F65*(Helpers!$B$13/SUM(F46:F65)),0),0)</f>
        <v>0</v>
      </c>
      <c r="H65" s="24">
        <f>IF(20&lt;=$B$7,C65*G65,0)</f>
        <v>0</v>
      </c>
      <c r="I65" s="24">
        <f>IF(20&lt;=$B$7,H65+I64,0)</f>
        <v>0</v>
      </c>
      <c r="J65" s="25">
        <f>IF(20&lt;=$B$7,G65+J64,0)</f>
        <v>0</v>
      </c>
      <c r="K65" s="24">
        <f>IF(20&lt;=$B$7,IF(J65&gt;0,I65/J65,0),0)</f>
        <v>0</v>
      </c>
      <c r="L65" t="str">
        <f t="shared" si="1"/>
        <v>No</v>
      </c>
    </row>
    <row r="71" spans="1:12" ht="17" x14ac:dyDescent="0.4">
      <c r="A71" s="38" t="s">
        <v>22</v>
      </c>
      <c r="B71" s="33"/>
      <c r="C71" s="33"/>
      <c r="D71" s="33"/>
    </row>
    <row r="72" spans="1:12" x14ac:dyDescent="0.35">
      <c r="A72" s="34" t="s">
        <v>23</v>
      </c>
      <c r="B72" s="33"/>
      <c r="C72" s="33"/>
      <c r="D72" s="33"/>
    </row>
    <row r="73" spans="1:12" x14ac:dyDescent="0.35">
      <c r="A73" s="34" t="s">
        <v>24</v>
      </c>
      <c r="B73" s="33"/>
      <c r="C73" s="33"/>
      <c r="D73" s="33"/>
    </row>
    <row r="74" spans="1:12" x14ac:dyDescent="0.35">
      <c r="A74" s="34" t="s">
        <v>25</v>
      </c>
      <c r="B74" s="33"/>
      <c r="C74" s="33"/>
      <c r="D74" s="33"/>
    </row>
    <row r="75" spans="1:12" x14ac:dyDescent="0.35">
      <c r="A75" s="34" t="s">
        <v>26</v>
      </c>
      <c r="B75" s="33"/>
      <c r="C75" s="33"/>
      <c r="D75" s="33"/>
    </row>
    <row r="76" spans="1:12" x14ac:dyDescent="0.35">
      <c r="A76" s="34" t="s">
        <v>27</v>
      </c>
      <c r="B76" s="33"/>
      <c r="C76" s="33"/>
      <c r="D76" s="33"/>
    </row>
    <row r="77" spans="1:12" x14ac:dyDescent="0.35">
      <c r="A77" s="34" t="s">
        <v>28</v>
      </c>
      <c r="B77" s="33"/>
      <c r="C77" s="33"/>
      <c r="D77" s="33"/>
    </row>
    <row r="78" spans="1:12" x14ac:dyDescent="0.35">
      <c r="A78" s="34" t="s">
        <v>29</v>
      </c>
      <c r="B78" s="33"/>
      <c r="C78" s="33"/>
      <c r="D78" s="33"/>
    </row>
  </sheetData>
  <autoFilter ref="A45:L65" xr:uid="{00000000-0009-0000-0000-000000000000}">
    <filterColumn colId="10">
      <filters>
        <filter val="Yes"/>
      </filters>
    </filterColumn>
    <filterColumn colId="11">
      <filters>
        <filter val="Yes"/>
      </filters>
    </filterColumn>
  </autoFilter>
  <mergeCells count="13">
    <mergeCell ref="A78:D78"/>
    <mergeCell ref="A72:D72"/>
    <mergeCell ref="A73:D73"/>
    <mergeCell ref="A71:D71"/>
    <mergeCell ref="A10:D10"/>
    <mergeCell ref="A76:D76"/>
    <mergeCell ref="A1:D1"/>
    <mergeCell ref="A75:D75"/>
    <mergeCell ref="A20:K20"/>
    <mergeCell ref="A74:D74"/>
    <mergeCell ref="A77:D77"/>
    <mergeCell ref="A45:L45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4.5" x14ac:dyDescent="0.35"/>
  <cols>
    <col min="1" max="1" width="20" customWidth="1"/>
    <col min="2" max="2" width="30" customWidth="1"/>
  </cols>
  <sheetData>
    <row r="1" spans="1:2" ht="25" customHeight="1" x14ac:dyDescent="0.45">
      <c r="A1" s="42" t="s">
        <v>30</v>
      </c>
      <c r="B1" s="33"/>
    </row>
    <row r="2" spans="1:2" ht="20" customHeight="1" x14ac:dyDescent="0.35">
      <c r="A2" s="41" t="s">
        <v>31</v>
      </c>
      <c r="B2" s="33"/>
    </row>
    <row r="4" spans="1:2" x14ac:dyDescent="0.35">
      <c r="A4" s="40" t="s">
        <v>32</v>
      </c>
      <c r="B4" s="33"/>
    </row>
    <row r="5" spans="1:2" x14ac:dyDescent="0.35">
      <c r="A5" s="26" t="s">
        <v>33</v>
      </c>
      <c r="B5" s="27">
        <f>Calculator!$B$5</f>
        <v>50</v>
      </c>
    </row>
    <row r="6" spans="1:2" x14ac:dyDescent="0.35">
      <c r="A6" s="26" t="s">
        <v>34</v>
      </c>
      <c r="B6" s="27">
        <f>IF(Calculator!$B$5&gt;0,Calculator!$B$5*(1-Calculator!$B$8/100),0)</f>
        <v>35</v>
      </c>
    </row>
    <row r="7" spans="1:2" x14ac:dyDescent="0.35">
      <c r="A7" s="26" t="s">
        <v>35</v>
      </c>
      <c r="B7" s="27">
        <f>IF(AND(Calculator!$B$7&gt;1,B5&gt;0,B6&gt;0),(B5-B6)/(Calculator!$B$7-1),IF(Calculator!$B$5&gt;0,Calculator!$B$5*0.1,0))</f>
        <v>1.6666666666666667</v>
      </c>
    </row>
    <row r="8" spans="1:2" x14ac:dyDescent="0.35">
      <c r="A8" s="26" t="s">
        <v>36</v>
      </c>
      <c r="B8" s="27">
        <f>Calculator!$B$5</f>
        <v>50</v>
      </c>
    </row>
    <row r="9" spans="1:2" x14ac:dyDescent="0.35">
      <c r="A9" s="26" t="s">
        <v>37</v>
      </c>
      <c r="B9" s="27">
        <f>IF(AND(B8&gt;0,B7&gt;0),MAX(1,CEILING(B8*Calculator!$B$6/100*0.5/B7,1))*B7,0)</f>
        <v>20</v>
      </c>
    </row>
    <row r="10" spans="1:2" x14ac:dyDescent="0.35">
      <c r="A10" s="26" t="s">
        <v>38</v>
      </c>
      <c r="B10" s="27">
        <f>IF(AND(B8&gt;0,B9&gt;0),B8+B9,0)</f>
        <v>70</v>
      </c>
    </row>
    <row r="12" spans="1:2" x14ac:dyDescent="0.35">
      <c r="A12" s="45" t="s">
        <v>39</v>
      </c>
      <c r="B12" s="33"/>
    </row>
    <row r="13" spans="1:2" x14ac:dyDescent="0.35">
      <c r="A13" s="26" t="s">
        <v>40</v>
      </c>
      <c r="B13" s="28">
        <f>SUM(Calculator!G21:G40)</f>
        <v>254.81113982705659</v>
      </c>
    </row>
    <row r="14" spans="1:2" x14ac:dyDescent="0.35">
      <c r="A14" s="26" t="s">
        <v>14</v>
      </c>
      <c r="B14" s="27">
        <f>SUM(Calculator!F21:F40)</f>
        <v>10000</v>
      </c>
    </row>
    <row r="15" spans="1:2" x14ac:dyDescent="0.35">
      <c r="A15" s="26" t="s">
        <v>41</v>
      </c>
      <c r="B15" s="27">
        <f>B14*(1+Calculator!$B$6/100)</f>
        <v>17500</v>
      </c>
    </row>
    <row r="17" spans="1:2" x14ac:dyDescent="0.35">
      <c r="A17" s="43" t="s">
        <v>42</v>
      </c>
      <c r="B17" s="33"/>
    </row>
    <row r="18" spans="1:2" x14ac:dyDescent="0.35">
      <c r="A18" s="26" t="s">
        <v>43</v>
      </c>
      <c r="B18" s="27">
        <f>SUMPRODUCT(Calculator!B46:B65,Calculator!G46:G65)</f>
        <v>20468.505892848705</v>
      </c>
    </row>
    <row r="19" spans="1:2" x14ac:dyDescent="0.35">
      <c r="A19" s="26" t="s">
        <v>44</v>
      </c>
      <c r="B19" s="28">
        <f>IF(AND(B18&gt;0,Helpers!$B$15&gt;0),Helpers!$B$15/B18,1)</f>
        <v>0.85497202832543617</v>
      </c>
    </row>
    <row r="20" spans="1:2" x14ac:dyDescent="0.35">
      <c r="A20" s="26" t="s">
        <v>45</v>
      </c>
      <c r="B20" s="27">
        <f>IF(AND(Helpers!$B$8&gt;0,Helpers!$B$7&gt;0),Helpers!$B$8+Helpers!$B$7,0)</f>
        <v>51.666666666666664</v>
      </c>
    </row>
    <row r="22" spans="1:2" x14ac:dyDescent="0.35">
      <c r="A22" s="44" t="s">
        <v>46</v>
      </c>
      <c r="B22" s="33"/>
    </row>
    <row r="23" spans="1:2" ht="16" customHeight="1" x14ac:dyDescent="0.35">
      <c r="A23" s="29" t="s">
        <v>47</v>
      </c>
      <c r="B23" s="30" t="str">
        <f>IF(Calculator!$B$4&gt;0,"✓ OK","✗ ERROR: Budget must be positive")</f>
        <v>✓ OK</v>
      </c>
    </row>
    <row r="24" spans="1:2" ht="16" customHeight="1" x14ac:dyDescent="0.35">
      <c r="A24" s="29" t="s">
        <v>48</v>
      </c>
      <c r="B24" s="30" t="str">
        <f>IF(Calculator!$B$5&gt;0,"✓ OK","✗ ERROR: Price must be positive")</f>
        <v>✓ OK</v>
      </c>
    </row>
    <row r="25" spans="1:2" ht="16" customHeight="1" x14ac:dyDescent="0.35">
      <c r="A25" s="29" t="s">
        <v>49</v>
      </c>
      <c r="B25" s="30" t="str">
        <f>IF(AND(Calculator!$B$6&gt;=10,Calculator!$B$6&lt;=200),"✓ OK","✗ ERROR: Profit target must be 10-200%")</f>
        <v>✓ OK</v>
      </c>
    </row>
    <row r="26" spans="1:2" ht="16" customHeight="1" x14ac:dyDescent="0.35">
      <c r="A26" s="29" t="s">
        <v>50</v>
      </c>
      <c r="B26" s="30" t="str">
        <f>IF(Calculator!$B$7&gt;=1,"✓ OK","✗ ERROR: Number of rungs must be at least 1")</f>
        <v>✓ OK</v>
      </c>
    </row>
    <row r="27" spans="1:2" ht="16" customHeight="1" x14ac:dyDescent="0.35">
      <c r="A27" s="29" t="s">
        <v>51</v>
      </c>
      <c r="B27" s="30" t="str">
        <f>IF(AND(Calculator!$B$8&gt;0,Calculator!$B$8&lt;=100),"✓ OK","✗ ERROR: Buy price range must be 0-100%")</f>
        <v>✓ OK</v>
      </c>
    </row>
    <row r="28" spans="1:2" ht="16" customHeight="1" x14ac:dyDescent="0.35">
      <c r="A28" s="29" t="s">
        <v>52</v>
      </c>
      <c r="B28" s="30" t="str">
        <f>IF(Helpers!$B$6&gt;0,"✓ OK","✗ ERROR: Buy lower price is non-positive. Reduce Buy Price Range %")</f>
        <v>✓ OK</v>
      </c>
    </row>
    <row r="29" spans="1:2" ht="16" customHeight="1" x14ac:dyDescent="0.35">
      <c r="A29" s="29" t="s">
        <v>53</v>
      </c>
      <c r="B29" s="30" t="str">
        <f>IF(AND(Calculator!$B$7&gt;0,Calculator!$B$7&lt;=20,SUM(Calculator!B21:B40)&gt;0,SUM(Calculator!C46:C65)&gt;0),IF(AND(ISNUMBER(INDEX(Calculator!C46:C65,1)),ISNUMBER(INDEX(Calculator!B21:B40,Calculator!$B$7))),IF(INDEX(Calculator!C46:C65,1)&gt;INDEX(Calculator!B21:B40,Calculator!$B$7),"✓ OK","✗ ERROR: Sell prices must exceed buy prices"),"N/A"),"N/A")</f>
        <v>✓ OK</v>
      </c>
    </row>
    <row r="30" spans="1:2" ht="16" customHeight="1" x14ac:dyDescent="0.35">
      <c r="A30" s="29" t="s">
        <v>54</v>
      </c>
      <c r="B30" s="31" t="str">
        <f>IF(ABS(Helpers!$B$13-SUM(Calculator!G46:G65))&lt;0.0001,"✓ OK","⚠ WARNING: Buy and sell quantities do not match exactly")</f>
        <v>✓ OK</v>
      </c>
    </row>
  </sheetData>
  <sheetProtection sheet="1" formatCells="0" formatColumns="0" formatRows="0" insertColumns="0" insertRows="0" insertHyperlinks="0" deleteColumns="0" deleteRows="0" selectLockedCells="1" sort="0" autoFilter="0" pivotTables="0" selectUnlockedCells="1"/>
  <mergeCells count="6">
    <mergeCell ref="A4:B4"/>
    <mergeCell ref="A2:B2"/>
    <mergeCell ref="A1:B1"/>
    <mergeCell ref="A17:B17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Helpers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Kokavec</cp:lastModifiedBy>
  <dcterms:created xsi:type="dcterms:W3CDTF">2025-11-07T07:39:39Z</dcterms:created>
  <dcterms:modified xsi:type="dcterms:W3CDTF">2025-11-07T07:39:40Z</dcterms:modified>
</cp:coreProperties>
</file>