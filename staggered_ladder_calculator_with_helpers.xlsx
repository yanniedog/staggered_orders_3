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staggered_orders_3\"/>
    </mc:Choice>
  </mc:AlternateContent>
  <xr:revisionPtr revIDLastSave="0" documentId="13_ncr:1_{2CBBF3E9-9394-47F7-940C-E8B7C63F07F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alculator" sheetId="1" r:id="rId1"/>
    <sheet name="Helpers" sheetId="2" r:id="rId2"/>
    <sheet name="Charts" sheetId="3" r:id="rId3"/>
  </sheets>
  <definedNames>
    <definedName name="_xlnm._FilterDatabase" localSheetId="0" hidden="1">Calculator!$A$59:$L$79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8" i="2"/>
  <c r="B6" i="2"/>
  <c r="B40" i="1" s="1"/>
  <c r="B5" i="2"/>
  <c r="B7" i="2" s="1"/>
  <c r="B20" i="2" s="1"/>
  <c r="L79" i="1"/>
  <c r="K79" i="1"/>
  <c r="J79" i="1"/>
  <c r="I79" i="1"/>
  <c r="H79" i="1"/>
  <c r="G79" i="1"/>
  <c r="F79" i="1"/>
  <c r="E79" i="1"/>
  <c r="D79" i="1"/>
  <c r="C79" i="1"/>
  <c r="B79" i="1"/>
  <c r="L78" i="1"/>
  <c r="K78" i="1"/>
  <c r="J78" i="1"/>
  <c r="I78" i="1"/>
  <c r="H78" i="1"/>
  <c r="G78" i="1"/>
  <c r="F78" i="1"/>
  <c r="E78" i="1"/>
  <c r="D78" i="1"/>
  <c r="C78" i="1"/>
  <c r="B78" i="1"/>
  <c r="K77" i="1"/>
  <c r="J77" i="1"/>
  <c r="I77" i="1"/>
  <c r="H77" i="1"/>
  <c r="G77" i="1"/>
  <c r="L77" i="1" s="1"/>
  <c r="F77" i="1"/>
  <c r="E77" i="1"/>
  <c r="D77" i="1"/>
  <c r="C77" i="1"/>
  <c r="B77" i="1"/>
  <c r="K76" i="1"/>
  <c r="J76" i="1"/>
  <c r="I76" i="1"/>
  <c r="H76" i="1"/>
  <c r="G76" i="1"/>
  <c r="L76" i="1" s="1"/>
  <c r="F76" i="1"/>
  <c r="E76" i="1"/>
  <c r="D76" i="1"/>
  <c r="C76" i="1"/>
  <c r="B76" i="1"/>
  <c r="K75" i="1"/>
  <c r="J75" i="1"/>
  <c r="I75" i="1"/>
  <c r="H75" i="1"/>
  <c r="G75" i="1"/>
  <c r="F75" i="1"/>
  <c r="E75" i="1"/>
  <c r="D75" i="1"/>
  <c r="C75" i="1"/>
  <c r="B75" i="1"/>
  <c r="K74" i="1"/>
  <c r="J74" i="1"/>
  <c r="I74" i="1"/>
  <c r="H74" i="1"/>
  <c r="G74" i="1"/>
  <c r="F74" i="1"/>
  <c r="E74" i="1"/>
  <c r="D74" i="1"/>
  <c r="C74" i="1"/>
  <c r="B74" i="1"/>
  <c r="K73" i="1"/>
  <c r="J73" i="1"/>
  <c r="I73" i="1"/>
  <c r="H73" i="1"/>
  <c r="G73" i="1"/>
  <c r="F73" i="1"/>
  <c r="E73" i="1"/>
  <c r="D73" i="1"/>
  <c r="C73" i="1"/>
  <c r="B73" i="1"/>
  <c r="K72" i="1"/>
  <c r="J72" i="1"/>
  <c r="I72" i="1"/>
  <c r="H72" i="1"/>
  <c r="G72" i="1"/>
  <c r="F72" i="1"/>
  <c r="E72" i="1"/>
  <c r="D72" i="1"/>
  <c r="C72" i="1"/>
  <c r="L72" i="1" s="1"/>
  <c r="B72" i="1"/>
  <c r="K71" i="1"/>
  <c r="J71" i="1"/>
  <c r="I71" i="1"/>
  <c r="H71" i="1"/>
  <c r="G71" i="1"/>
  <c r="F71" i="1"/>
  <c r="E71" i="1"/>
  <c r="D71" i="1"/>
  <c r="C71" i="1"/>
  <c r="B71" i="1"/>
  <c r="K70" i="1"/>
  <c r="J70" i="1"/>
  <c r="I70" i="1"/>
  <c r="H70" i="1"/>
  <c r="G70" i="1"/>
  <c r="F70" i="1"/>
  <c r="E70" i="1"/>
  <c r="D70" i="1"/>
  <c r="C70" i="1"/>
  <c r="B70" i="1"/>
  <c r="D69" i="1"/>
  <c r="D68" i="1"/>
  <c r="D67" i="1"/>
  <c r="D66" i="1"/>
  <c r="D65" i="1"/>
  <c r="D64" i="1"/>
  <c r="D63" i="1"/>
  <c r="D62" i="1"/>
  <c r="D61" i="1"/>
  <c r="E62" i="1" s="1"/>
  <c r="D60" i="1"/>
  <c r="E69" i="1" s="1"/>
  <c r="J54" i="1"/>
  <c r="I54" i="1"/>
  <c r="H54" i="1"/>
  <c r="G54" i="1"/>
  <c r="F54" i="1"/>
  <c r="E54" i="1"/>
  <c r="D54" i="1"/>
  <c r="C54" i="1"/>
  <c r="B54" i="1"/>
  <c r="K54" i="1" s="1"/>
  <c r="K53" i="1"/>
  <c r="J53" i="1"/>
  <c r="I53" i="1"/>
  <c r="H53" i="1"/>
  <c r="G53" i="1"/>
  <c r="F53" i="1"/>
  <c r="E53" i="1"/>
  <c r="D53" i="1"/>
  <c r="C53" i="1"/>
  <c r="B53" i="1"/>
  <c r="K52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K51" i="1" s="1"/>
  <c r="F51" i="1"/>
  <c r="E51" i="1"/>
  <c r="D51" i="1"/>
  <c r="C51" i="1"/>
  <c r="B51" i="1"/>
  <c r="J50" i="1"/>
  <c r="I50" i="1"/>
  <c r="H50" i="1"/>
  <c r="G50" i="1"/>
  <c r="K50" i="1" s="1"/>
  <c r="F50" i="1"/>
  <c r="E50" i="1"/>
  <c r="D50" i="1"/>
  <c r="C50" i="1"/>
  <c r="B50" i="1"/>
  <c r="J49" i="1"/>
  <c r="I49" i="1"/>
  <c r="H49" i="1"/>
  <c r="G49" i="1"/>
  <c r="K49" i="1" s="1"/>
  <c r="F49" i="1"/>
  <c r="E49" i="1"/>
  <c r="D49" i="1"/>
  <c r="C49" i="1"/>
  <c r="B49" i="1"/>
  <c r="J48" i="1"/>
  <c r="I48" i="1"/>
  <c r="H48" i="1"/>
  <c r="G48" i="1"/>
  <c r="F48" i="1"/>
  <c r="E48" i="1"/>
  <c r="D48" i="1"/>
  <c r="C48" i="1"/>
  <c r="B48" i="1"/>
  <c r="K48" i="1" s="1"/>
  <c r="K47" i="1"/>
  <c r="J47" i="1"/>
  <c r="I47" i="1"/>
  <c r="H47" i="1"/>
  <c r="G47" i="1"/>
  <c r="F47" i="1"/>
  <c r="E47" i="1"/>
  <c r="D47" i="1"/>
  <c r="C47" i="1"/>
  <c r="B47" i="1"/>
  <c r="K46" i="1"/>
  <c r="J46" i="1"/>
  <c r="I46" i="1"/>
  <c r="H46" i="1"/>
  <c r="G46" i="1"/>
  <c r="F46" i="1"/>
  <c r="E46" i="1"/>
  <c r="D46" i="1"/>
  <c r="C46" i="1"/>
  <c r="B46" i="1"/>
  <c r="J45" i="1"/>
  <c r="I45" i="1"/>
  <c r="H45" i="1"/>
  <c r="G45" i="1"/>
  <c r="K45" i="1" s="1"/>
  <c r="F45" i="1"/>
  <c r="E45" i="1"/>
  <c r="D45" i="1"/>
  <c r="C45" i="1"/>
  <c r="B45" i="1"/>
  <c r="C44" i="1"/>
  <c r="C43" i="1"/>
  <c r="C42" i="1"/>
  <c r="B42" i="1"/>
  <c r="C41" i="1"/>
  <c r="B41" i="1"/>
  <c r="C40" i="1"/>
  <c r="C39" i="1"/>
  <c r="C38" i="1"/>
  <c r="C37" i="1"/>
  <c r="C36" i="1"/>
  <c r="B36" i="1"/>
  <c r="C35" i="1"/>
  <c r="B35" i="1"/>
  <c r="B12" i="1"/>
  <c r="B11" i="1"/>
  <c r="L75" i="1" l="1"/>
  <c r="L71" i="1"/>
  <c r="L70" i="1"/>
  <c r="L74" i="1"/>
  <c r="L73" i="1"/>
  <c r="D44" i="1"/>
  <c r="E44" i="1" s="1"/>
  <c r="D42" i="1"/>
  <c r="E42" i="1" s="1"/>
  <c r="D43" i="1"/>
  <c r="E43" i="1" s="1"/>
  <c r="D37" i="1"/>
  <c r="E37" i="1" s="1"/>
  <c r="F37" i="1" s="1"/>
  <c r="E61" i="1"/>
  <c r="E60" i="1"/>
  <c r="D36" i="1"/>
  <c r="E36" i="1" s="1"/>
  <c r="D35" i="1"/>
  <c r="E35" i="1" s="1"/>
  <c r="D41" i="1"/>
  <c r="E41" i="1" s="1"/>
  <c r="B39" i="1"/>
  <c r="D40" i="1"/>
  <c r="E40" i="1" s="1"/>
  <c r="B38" i="1"/>
  <c r="D39" i="1"/>
  <c r="E39" i="1" s="1"/>
  <c r="B44" i="1"/>
  <c r="E65" i="1"/>
  <c r="E64" i="1"/>
  <c r="B37" i="1"/>
  <c r="D38" i="1"/>
  <c r="E38" i="1" s="1"/>
  <c r="B43" i="1"/>
  <c r="E63" i="1"/>
  <c r="E68" i="1"/>
  <c r="E67" i="1"/>
  <c r="B9" i="2"/>
  <c r="B10" i="2" s="1"/>
  <c r="E66" i="1"/>
  <c r="B28" i="2"/>
  <c r="B69" i="1" l="1"/>
  <c r="B63" i="1"/>
  <c r="B64" i="1"/>
  <c r="B65" i="1"/>
  <c r="B67" i="1"/>
  <c r="B60" i="1"/>
  <c r="B61" i="1"/>
  <c r="B62" i="1"/>
  <c r="B66" i="1"/>
  <c r="B68" i="1"/>
  <c r="F39" i="1"/>
  <c r="F42" i="1"/>
  <c r="G38" i="1"/>
  <c r="F40" i="1"/>
  <c r="G39" i="1"/>
  <c r="F41" i="1"/>
  <c r="F35" i="1"/>
  <c r="G43" i="1"/>
  <c r="F36" i="1"/>
  <c r="F38" i="1"/>
  <c r="G37" i="1"/>
  <c r="F43" i="1"/>
  <c r="F44" i="1"/>
  <c r="K43" i="1" l="1"/>
  <c r="G41" i="1"/>
  <c r="K39" i="1"/>
  <c r="K38" i="1"/>
  <c r="K37" i="1"/>
  <c r="G42" i="1"/>
  <c r="G36" i="1"/>
  <c r="G44" i="1"/>
  <c r="B14" i="2"/>
  <c r="B15" i="2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B13" i="1"/>
  <c r="G35" i="1"/>
  <c r="G40" i="1"/>
  <c r="K40" i="1" l="1"/>
  <c r="K42" i="1"/>
  <c r="B17" i="1"/>
  <c r="I35" i="1"/>
  <c r="J35" i="1" s="1"/>
  <c r="B13" i="2"/>
  <c r="K35" i="1"/>
  <c r="K41" i="1"/>
  <c r="K44" i="1"/>
  <c r="K36" i="1"/>
  <c r="F62" i="1" l="1"/>
  <c r="F67" i="1"/>
  <c r="F68" i="1"/>
  <c r="F69" i="1"/>
  <c r="F61" i="1"/>
  <c r="F64" i="1"/>
  <c r="F65" i="1"/>
  <c r="F66" i="1"/>
  <c r="F60" i="1"/>
  <c r="F63" i="1"/>
  <c r="I36" i="1"/>
  <c r="G68" i="1" l="1"/>
  <c r="G63" i="1"/>
  <c r="G60" i="1"/>
  <c r="G66" i="1"/>
  <c r="G65" i="1"/>
  <c r="G64" i="1"/>
  <c r="G69" i="1"/>
  <c r="G67" i="1"/>
  <c r="G62" i="1"/>
  <c r="J36" i="1"/>
  <c r="I37" i="1"/>
  <c r="G61" i="1"/>
  <c r="J37" i="1" l="1"/>
  <c r="I38" i="1"/>
  <c r="J60" i="1"/>
  <c r="J61" i="1" s="1"/>
  <c r="B18" i="1"/>
  <c r="B18" i="2"/>
  <c r="B19" i="2" s="1"/>
  <c r="B30" i="2"/>
  <c r="J62" i="1" l="1"/>
  <c r="C60" i="1"/>
  <c r="C69" i="1"/>
  <c r="C67" i="1"/>
  <c r="C68" i="1"/>
  <c r="C65" i="1"/>
  <c r="C62" i="1"/>
  <c r="C61" i="1"/>
  <c r="C64" i="1"/>
  <c r="C66" i="1"/>
  <c r="C63" i="1"/>
  <c r="J38" i="1"/>
  <c r="I39" i="1"/>
  <c r="L66" i="1" l="1"/>
  <c r="H66" i="1"/>
  <c r="L64" i="1"/>
  <c r="H64" i="1"/>
  <c r="H61" i="1"/>
  <c r="L61" i="1"/>
  <c r="L62" i="1"/>
  <c r="H62" i="1"/>
  <c r="L65" i="1"/>
  <c r="H65" i="1"/>
  <c r="H68" i="1"/>
  <c r="L68" i="1"/>
  <c r="J39" i="1"/>
  <c r="I40" i="1"/>
  <c r="L63" i="1"/>
  <c r="H63" i="1"/>
  <c r="H67" i="1"/>
  <c r="L67" i="1"/>
  <c r="H69" i="1"/>
  <c r="L69" i="1"/>
  <c r="J63" i="1"/>
  <c r="L60" i="1"/>
  <c r="H60" i="1"/>
  <c r="B29" i="2"/>
  <c r="J64" i="1" l="1"/>
  <c r="B14" i="1"/>
  <c r="B15" i="1" s="1"/>
  <c r="B16" i="1" s="1"/>
  <c r="I60" i="1"/>
  <c r="K60" i="1" s="1"/>
  <c r="J40" i="1"/>
  <c r="I41" i="1"/>
  <c r="I61" i="1" l="1"/>
  <c r="J65" i="1"/>
  <c r="J41" i="1"/>
  <c r="I42" i="1"/>
  <c r="J42" i="1" l="1"/>
  <c r="I43" i="1"/>
  <c r="J66" i="1"/>
  <c r="K61" i="1"/>
  <c r="I62" i="1"/>
  <c r="K62" i="1" l="1"/>
  <c r="I63" i="1"/>
  <c r="J67" i="1"/>
  <c r="J43" i="1"/>
  <c r="I44" i="1"/>
  <c r="J44" i="1" s="1"/>
  <c r="J68" i="1" l="1"/>
  <c r="I64" i="1"/>
  <c r="K63" i="1"/>
  <c r="I65" i="1" l="1"/>
  <c r="K64" i="1"/>
  <c r="J69" i="1"/>
  <c r="I66" i="1" l="1"/>
  <c r="K65" i="1"/>
  <c r="I67" i="1" l="1"/>
  <c r="K66" i="1"/>
  <c r="I68" i="1" l="1"/>
  <c r="K67" i="1"/>
  <c r="I69" i="1" l="1"/>
  <c r="K69" i="1" s="1"/>
  <c r="K68" i="1"/>
</calcChain>
</file>

<file path=xl/sharedStrings.xml><?xml version="1.0" encoding="utf-8"?>
<sst xmlns="http://schemas.openxmlformats.org/spreadsheetml/2006/main" count="60" uniqueCount="57">
  <si>
    <t>STAGGERED ORDER LADDER CALCULATOR</t>
  </si>
  <si>
    <t>INPUT PARAMETERS</t>
  </si>
  <si>
    <t>Total Budget ($)</t>
  </si>
  <si>
    <t>Total amount available for buy orders</t>
  </si>
  <si>
    <t>Current Price ($)</t>
  </si>
  <si>
    <t>Current market price (highest buy rung)</t>
  </si>
  <si>
    <t>Profit Target (%)</t>
  </si>
  <si>
    <t>Target profit percentage (10-200%)</t>
  </si>
  <si>
    <t>Number of Rungs</t>
  </si>
  <si>
    <t>Number of buy/sell orders to place</t>
  </si>
  <si>
    <t>Buy Price Range (%)</t>
  </si>
  <si>
    <t>Price range for buy ladder (0-100%)</t>
  </si>
  <si>
    <t>SUMMARY RESULTS</t>
  </si>
  <si>
    <t>Total Budget</t>
  </si>
  <si>
    <t>Total Cost</t>
  </si>
  <si>
    <t>Total Revenue</t>
  </si>
  <si>
    <t>Total Profit</t>
  </si>
  <si>
    <t>Profit Percentage</t>
  </si>
  <si>
    <t>Total Buy Quantity</t>
  </si>
  <si>
    <t>Total Sell Quantity</t>
  </si>
  <si>
    <t>VALIDATION STATUS</t>
  </si>
  <si>
    <t>See 'Helpers' sheet for detailed validation checks</t>
  </si>
  <si>
    <t>BUY ORDERS</t>
  </si>
  <si>
    <t>SELL ORDERS</t>
  </si>
  <si>
    <t>INSTRUCTIONS</t>
  </si>
  <si>
    <t>1. Enter your parameters in the INPUT PARAMETERS section at the top.</t>
  </si>
  <si>
    <t>2. Review the SUMMARY RESULTS to see total cost, revenue, and profit.</t>
  </si>
  <si>
    <t>3. Check VALIDATION STATUS to ensure all inputs are valid.</t>
  </si>
  <si>
    <t>4. View BUY ORDERS and SELL ORDERS tables below.</t>
  </si>
  <si>
    <t>5. Filters are applied automatically - only active rungs are shown.</t>
  </si>
  <si>
    <t>6. See the Charts sheet for visualizations.</t>
  </si>
  <si>
    <t>7. Helper calculations are hidden but can be viewed by unhiding columns.</t>
  </si>
  <si>
    <t>HELPER CALCULATIONS</t>
  </si>
  <si>
    <t>⚠ WARNING: These cells are protected. Modifying them may cause calculation errors.</t>
  </si>
  <si>
    <t>Buy Price Helpers</t>
  </si>
  <si>
    <t>Buy Upper</t>
  </si>
  <si>
    <t>Buy Lower</t>
  </si>
  <si>
    <t>Price Step</t>
  </si>
  <si>
    <t>Max Buy Price</t>
  </si>
  <si>
    <t>Gap Size</t>
  </si>
  <si>
    <t>Min Sell Price</t>
  </si>
  <si>
    <t>Buy Order Totals</t>
  </si>
  <si>
    <t>Total Buy Qty</t>
  </si>
  <si>
    <t>Target Revenue</t>
  </si>
  <si>
    <t>Sell Order Helpers</t>
  </si>
  <si>
    <t>Initial Revenue</t>
  </si>
  <si>
    <t>Price Scale</t>
  </si>
  <si>
    <t>Min Valid Sell</t>
  </si>
  <si>
    <t>Validation Checks</t>
  </si>
  <si>
    <t>Budget &gt; 0</t>
  </si>
  <si>
    <t>Current Price &gt; 0</t>
  </si>
  <si>
    <t>Profit Target Valid</t>
  </si>
  <si>
    <t>Num Rungs &gt;= 1</t>
  </si>
  <si>
    <t>Buy Price Range Valid</t>
  </si>
  <si>
    <t>Buy Lower &gt; 0</t>
  </si>
  <si>
    <t>Sell Prices &gt; Buy Prices</t>
  </si>
  <si>
    <t>Volume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</si>
</sst>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name val="Calibri"/>
    </font>
    <font>
      <b/>
      <sz val="10"/>
      <name val="Calibri"/>
    </font>
    <font>
      <sz val="11"/>
      <name val="Calibri"/>
    </font>
    <font>
      <i/>
      <sz val="9"/>
      <color rgb="FF666666"/>
      <name val="Calibri"/>
    </font>
    <font>
      <b/>
      <sz val="11"/>
      <name val="Calibri"/>
    </font>
    <font>
      <b/>
      <sz val="14"/>
      <name val="Calibri"/>
    </font>
    <font>
      <b/>
      <i/>
      <sz val="10"/>
      <color rgb="FFFF0000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8800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F3FF"/>
        <bgColor rgb="FFE7F3FF"/>
      </patternFill>
    </fill>
    <fill>
      <patternFill patternType="solid">
        <fgColor rgb="FFFFFFFF"/>
        <bgColor rgb="FFFFFFFF"/>
      </patternFill>
    </fill>
    <fill>
      <patternFill patternType="solid">
        <fgColor rgb="FFFFF4E6"/>
        <bgColor rgb="FFFFF4E6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0" xfId="0" applyFont="1" applyFill="1" applyAlignment="1">
      <alignment horizontal="righ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4" fontId="6" fillId="4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165" fontId="12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" fontId="0" fillId="11" borderId="2" xfId="0" applyNumberFormat="1" applyFill="1" applyBorder="1"/>
    <xf numFmtId="165" fontId="0" fillId="11" borderId="2" xfId="0" applyNumberFormat="1" applyFill="1" applyBorder="1"/>
    <xf numFmtId="0" fontId="12" fillId="9" borderId="2" xfId="0" applyFont="1" applyFill="1" applyBorder="1" applyAlignment="1">
      <alignment horizontal="center" vertical="center"/>
    </xf>
    <xf numFmtId="4" fontId="12" fillId="9" borderId="2" xfId="0" applyNumberFormat="1" applyFont="1" applyFill="1" applyBorder="1" applyAlignment="1">
      <alignment horizontal="center" vertical="center"/>
    </xf>
    <xf numFmtId="165" fontId="12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4" fontId="0" fillId="9" borderId="2" xfId="0" applyNumberFormat="1" applyFill="1" applyBorder="1"/>
    <xf numFmtId="165" fontId="0" fillId="9" borderId="2" xfId="0" applyNumberFormat="1" applyFill="1" applyBorder="1"/>
    <xf numFmtId="0" fontId="5" fillId="0" borderId="0" xfId="0" applyFont="1" applyAlignment="1">
      <alignment horizontal="right" vertical="center"/>
    </xf>
    <xf numFmtId="4" fontId="0" fillId="0" borderId="2" xfId="0" applyNumberFormat="1" applyBorder="1"/>
    <xf numFmtId="165" fontId="0" fillId="0" borderId="2" xfId="0" applyNumberFormat="1" applyBorder="1"/>
    <xf numFmtId="0" fontId="9" fillId="0" borderId="0" xfId="0" applyFont="1" applyAlignment="1">
      <alignment horizontal="right" vertical="center"/>
    </xf>
    <xf numFmtId="0" fontId="10" fillId="9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1" borderId="0" xfId="0" applyFont="1" applyFill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0" fontId="2" fillId="5" borderId="0" xfId="0" applyFont="1" applyFill="1"/>
    <xf numFmtId="0" fontId="2" fillId="9" borderId="0" xfId="0" applyFont="1" applyFill="1"/>
    <xf numFmtId="0" fontId="6" fillId="10" borderId="0" xfId="0" applyFont="1" applyFill="1"/>
    <xf numFmtId="0" fontId="8" fillId="9" borderId="0" xfId="0" applyFont="1" applyFill="1"/>
    <xf numFmtId="0" fontId="7" fillId="8" borderId="0" xfId="0" applyFont="1" applyFill="1"/>
    <xf numFmtId="0" fontId="6" fillId="9" borderId="0" xfId="0" applyFont="1" applyFill="1"/>
    <xf numFmtId="0" fontId="6" fillId="12" borderId="0" xfId="0" applyFont="1" applyFill="1"/>
    <xf numFmtId="0" fontId="6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Buy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Calculator!$B$34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Calculator!$B$35:$B$54</c:f>
              <c:numCache>
                <c:formatCode>#,##0.00</c:formatCode>
                <c:ptCount val="2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60-4E05-B09D-98A0EDF9E406}"/>
            </c:ext>
          </c:extLst>
        </c:ser>
        <c:ser>
          <c:idx val="1"/>
          <c:order val="1"/>
          <c:tx>
            <c:strRef>
              <c:f>Calculator!$J$34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Calculator!$J$35:$J$54</c:f>
              <c:numCache>
                <c:formatCode>#,##0.00</c:formatCode>
                <c:ptCount val="2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60-4E05-B09D-98A0EDF9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Buy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Calculator!$G$34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Calculator!$G$35:$G$54</c:f>
              <c:numCache>
                <c:formatCode>#,##0.0000</c:formatCode>
                <c:ptCount val="2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1-4C5F-92CD-33918610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Sell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Calculator!$C$59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Calculator!$C$60:$C$79</c:f>
            </c:numRef>
          </c:val>
          <c:smooth val="1"/>
          <c:extLst>
            <c:ext xmlns:c16="http://schemas.microsoft.com/office/drawing/2014/chart" uri="{C3380CC4-5D6E-409C-BE32-E72D297353CC}">
              <c16:uniqueId val="{00000000-AAC5-4893-B0B2-C14CED738E2C}"/>
            </c:ext>
          </c:extLst>
        </c:ser>
        <c:ser>
          <c:idx val="1"/>
          <c:order val="1"/>
          <c:tx>
            <c:strRef>
              <c:f>Calculator!$K$59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Calculator!$K$60:$K$79</c:f>
            </c:numRef>
          </c:val>
          <c:smooth val="1"/>
          <c:extLst>
            <c:ext xmlns:c16="http://schemas.microsoft.com/office/drawing/2014/chart" uri="{C3380CC4-5D6E-409C-BE32-E72D297353CC}">
              <c16:uniqueId val="{00000001-AAC5-4893-B0B2-C14CED738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Sell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Calculator!$G$59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Calculator!$A$60:$A$79</c:f>
            </c:multiLvlStrRef>
          </c:cat>
          <c:val>
            <c:numRef>
              <c:f>Calculator!$G$60:$G$79</c:f>
            </c:numRef>
          </c:val>
          <c:extLst>
            <c:ext xmlns:c16="http://schemas.microsoft.com/office/drawing/2014/chart" uri="{C3380CC4-5D6E-409C-BE32-E72D297353CC}">
              <c16:uniqueId val="{00000000-6F7E-412D-B74D-97E9A28E6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Combined Buy/Sell Ladder: Average Price vs Order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Buy Orders</c:v>
          </c:tx>
          <c:spPr>
            <a:ln w="28575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Calculator!$B$35:$B$54</c:f>
              <c:numCache>
                <c:formatCode>#,##0.00</c:formatCode>
                <c:ptCount val="2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Calculator!$J$35:$J$54</c:f>
              <c:numCache>
                <c:formatCode>#,##0.00</c:formatCode>
                <c:ptCount val="2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86-4D84-81FA-7040FD4C32E9}"/>
            </c:ext>
          </c:extLst>
        </c:ser>
        <c:ser>
          <c:idx val="1"/>
          <c:order val="1"/>
          <c:tx>
            <c:v>Sell Orders</c:v>
          </c:tx>
          <c:spPr>
            <a:ln w="28575">
              <a:solidFill>
                <a:srgbClr val="C62828"/>
              </a:solidFill>
              <a:prstDash val="solid"/>
            </a:ln>
          </c:spPr>
          <c:marker>
            <c:symbol val="none"/>
          </c:marker>
          <c:xVal>
            <c:numRef>
              <c:f>Calculator!$C$60:$C$79</c:f>
            </c:numRef>
          </c:xVal>
          <c:yVal>
            <c:numRef>
              <c:f>Calculator!$K$60:$K$79</c:f>
            </c:numRef>
          </c:yVal>
          <c:smooth val="1"/>
          <c:extLst>
            <c:ext xmlns:c16="http://schemas.microsoft.com/office/drawing/2014/chart" uri="{C3380CC4-5D6E-409C-BE32-E72D297353CC}">
              <c16:uniqueId val="{00000001-0C86-4D84-81FA-7040FD4C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Order 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Order Quantities: Buy vs Sell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Calculator!$G$34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Calculator!$G$35:$G$54</c:f>
              <c:numCache>
                <c:formatCode>#,##0.0000</c:formatCode>
                <c:ptCount val="2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2-4A99-9DD4-38538138A588}"/>
            </c:ext>
          </c:extLst>
        </c:ser>
        <c:ser>
          <c:idx val="1"/>
          <c:order val="1"/>
          <c:tx>
            <c:strRef>
              <c:f>Calculator!$G$59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Calculator!$G$60:$G$79</c:f>
            </c:numRef>
          </c:val>
          <c:extLst>
            <c:ext xmlns:c16="http://schemas.microsoft.com/office/drawing/2014/chart" uri="{C3380CC4-5D6E-409C-BE32-E72D297353CC}">
              <c16:uniqueId val="{00000001-C172-4A99-9DD4-38538138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Order Rung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14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0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14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720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648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2"/>
  <sheetViews>
    <sheetView tabSelected="1" workbookViewId="0"/>
  </sheetViews>
  <sheetFormatPr defaultRowHeight="14.5" x14ac:dyDescent="0.35"/>
  <cols>
    <col min="1" max="1" width="8" customWidth="1"/>
    <col min="2" max="3" width="12" customWidth="1"/>
    <col min="4" max="5" width="8.984375E-2" customWidth="1"/>
    <col min="6" max="6" width="14" customWidth="1"/>
    <col min="7" max="7" width="12" customWidth="1"/>
    <col min="8" max="8" width="16" customWidth="1"/>
    <col min="9" max="10" width="14" customWidth="1"/>
    <col min="11" max="11" width="50" customWidth="1"/>
    <col min="12" max="12" width="8.984375E-2" customWidth="1"/>
  </cols>
  <sheetData>
    <row r="1" spans="1:4" ht="30" customHeight="1" x14ac:dyDescent="0.35">
      <c r="A1" s="32" t="s">
        <v>0</v>
      </c>
      <c r="B1" s="33"/>
      <c r="C1" s="33"/>
      <c r="D1" s="33"/>
    </row>
    <row r="3" spans="1:4" ht="22" customHeight="1" x14ac:dyDescent="0.4">
      <c r="A3" s="37" t="s">
        <v>1</v>
      </c>
      <c r="B3" s="33"/>
      <c r="C3" s="33"/>
      <c r="D3" s="33"/>
    </row>
    <row r="4" spans="1:4" ht="20" customHeight="1" x14ac:dyDescent="0.35">
      <c r="A4" s="1" t="s">
        <v>2</v>
      </c>
      <c r="B4" s="2">
        <v>10000</v>
      </c>
      <c r="C4" s="3" t="s">
        <v>3</v>
      </c>
    </row>
    <row r="5" spans="1:4" ht="20" customHeight="1" x14ac:dyDescent="0.35">
      <c r="A5" s="1" t="s">
        <v>4</v>
      </c>
      <c r="B5" s="2">
        <v>50</v>
      </c>
      <c r="C5" s="3" t="s">
        <v>5</v>
      </c>
    </row>
    <row r="6" spans="1:4" ht="20" customHeight="1" x14ac:dyDescent="0.35">
      <c r="A6" s="1" t="s">
        <v>6</v>
      </c>
      <c r="B6" s="4">
        <v>75</v>
      </c>
      <c r="C6" s="3" t="s">
        <v>7</v>
      </c>
    </row>
    <row r="7" spans="1:4" ht="20" customHeight="1" x14ac:dyDescent="0.35">
      <c r="A7" s="1" t="s">
        <v>8</v>
      </c>
      <c r="B7" s="5">
        <v>10</v>
      </c>
      <c r="C7" s="3" t="s">
        <v>9</v>
      </c>
    </row>
    <row r="8" spans="1:4" ht="20" customHeight="1" x14ac:dyDescent="0.35">
      <c r="A8" s="1" t="s">
        <v>10</v>
      </c>
      <c r="B8" s="4">
        <v>30</v>
      </c>
      <c r="C8" s="3" t="s">
        <v>11</v>
      </c>
    </row>
    <row r="10" spans="1:4" ht="22" customHeight="1" x14ac:dyDescent="0.4">
      <c r="A10" s="38" t="s">
        <v>12</v>
      </c>
      <c r="B10" s="33"/>
      <c r="C10" s="33"/>
      <c r="D10" s="33"/>
    </row>
    <row r="11" spans="1:4" ht="18" customHeight="1" x14ac:dyDescent="0.35">
      <c r="A11" s="6" t="s">
        <v>13</v>
      </c>
      <c r="B11" s="7">
        <f>$B$4</f>
        <v>10000</v>
      </c>
    </row>
    <row r="12" spans="1:4" ht="18" customHeight="1" x14ac:dyDescent="0.35">
      <c r="A12" s="6" t="s">
        <v>8</v>
      </c>
      <c r="B12" s="8">
        <f>$B$7</f>
        <v>10</v>
      </c>
    </row>
    <row r="13" spans="1:4" ht="18" customHeight="1" x14ac:dyDescent="0.35">
      <c r="A13" s="6" t="s">
        <v>14</v>
      </c>
      <c r="B13" s="7">
        <f>SUM(F35:F54)</f>
        <v>10000</v>
      </c>
    </row>
    <row r="14" spans="1:4" ht="18" customHeight="1" x14ac:dyDescent="0.35">
      <c r="A14" s="6" t="s">
        <v>15</v>
      </c>
      <c r="B14" s="7">
        <f>SUM(H60:H79)</f>
        <v>17500</v>
      </c>
    </row>
    <row r="15" spans="1:4" ht="18" customHeight="1" x14ac:dyDescent="0.35">
      <c r="A15" s="6" t="s">
        <v>16</v>
      </c>
      <c r="B15" s="9">
        <f>B14-B13</f>
        <v>7500</v>
      </c>
    </row>
    <row r="16" spans="1:4" ht="18" customHeight="1" x14ac:dyDescent="0.35">
      <c r="A16" s="6" t="s">
        <v>17</v>
      </c>
      <c r="B16" s="10">
        <f>IF(B13&gt;0,(B15/B13)*100,0)</f>
        <v>75</v>
      </c>
    </row>
    <row r="17" spans="1:4" ht="18" customHeight="1" x14ac:dyDescent="0.35">
      <c r="A17" s="6" t="s">
        <v>18</v>
      </c>
      <c r="B17" s="11">
        <f>SUM(G35:G54)</f>
        <v>254.81113982705659</v>
      </c>
    </row>
    <row r="18" spans="1:4" ht="18" customHeight="1" x14ac:dyDescent="0.35">
      <c r="A18" s="6" t="s">
        <v>19</v>
      </c>
      <c r="B18" s="11">
        <f>SUM(G60:G79)</f>
        <v>254.81113982705659</v>
      </c>
    </row>
    <row r="20" spans="1:4" ht="22" customHeight="1" x14ac:dyDescent="0.4">
      <c r="A20" s="36" t="s">
        <v>20</v>
      </c>
      <c r="B20" s="33"/>
      <c r="C20" s="33"/>
      <c r="D20" s="33"/>
    </row>
    <row r="21" spans="1:4" ht="22" customHeight="1" x14ac:dyDescent="0.4">
      <c r="A21" s="36" t="s">
        <v>20</v>
      </c>
      <c r="B21" s="33"/>
      <c r="C21" s="33"/>
      <c r="D21" s="33"/>
    </row>
    <row r="22" spans="1:4" x14ac:dyDescent="0.35">
      <c r="A22" s="35" t="s">
        <v>21</v>
      </c>
      <c r="B22" s="33"/>
      <c r="C22" s="33"/>
      <c r="D22" s="33"/>
    </row>
    <row r="34" spans="1:11" ht="22" customHeight="1" x14ac:dyDescent="0.4">
      <c r="A34" s="34" t="s">
        <v>22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x14ac:dyDescent="0.35">
      <c r="A35" s="12">
        <v>1</v>
      </c>
      <c r="B35" s="13">
        <f>IF(1&lt;=$B$7,Helpers!$B$6+(Helpers!$B$5-Helpers!$B$6)*(1-1)/(IF($B$7&gt;1,$B$7-1,1)),0)</f>
        <v>35</v>
      </c>
      <c r="C35" s="14">
        <f>IF(1&lt;=$B$7,EXP(2-2*(1-1)/(IF($B$7&gt;1,$B$7-1,1))),0)</f>
        <v>7.3890560989306504</v>
      </c>
      <c r="D35" s="14">
        <f>IF(1&lt;=$B$7,IF(SUM(C35:C54)&gt;0,C35/SUM(C35:C54),0),0)</f>
        <v>0.22348076591333535</v>
      </c>
      <c r="E35" s="15">
        <f>IF(1&lt;=$B$7,IF(ISNUMBER(D35),$B$4*D35,0),0)</f>
        <v>2234.8076591333534</v>
      </c>
      <c r="F35" s="13">
        <f>IF(1&lt;=$B$7,IF(AND(ISNUMBER(E35),SUM(E35:E54)&gt;0),E35*($B$4/SUM(E35:E54)),0),0)</f>
        <v>2234.8076591333534</v>
      </c>
      <c r="G35" s="16">
        <f>IF(1&lt;=$B$7,IF(B35&gt;0,F35/B35,0),0)</f>
        <v>63.851647403810098</v>
      </c>
      <c r="H35" s="13">
        <f>F35</f>
        <v>2234.8076591333534</v>
      </c>
      <c r="I35" s="16">
        <f>G35</f>
        <v>63.851647403810098</v>
      </c>
      <c r="J35" s="13">
        <f>IF(1&lt;=$B$7,IF(I35&gt;0,H35/I35,0),0)</f>
        <v>35</v>
      </c>
      <c r="K35" t="str">
        <f t="shared" ref="K35:K54" si="0">IF(AND(A35&lt;=$B$7,B35&gt;0,G35&gt;0,ISNUMBER(B35),ISNUMBER(G35)),"Yes","No")</f>
        <v>Yes</v>
      </c>
    </row>
    <row r="36" spans="1:11" x14ac:dyDescent="0.35">
      <c r="A36" s="17">
        <v>2</v>
      </c>
      <c r="B36" s="18">
        <f>IF(2&lt;=$B$7,Helpers!$B$6+(Helpers!$B$5-Helpers!$B$6)*(2-1)/(IF($B$7&gt;1,$B$7-1,1)),0)</f>
        <v>36.666666666666664</v>
      </c>
      <c r="C36" s="14">
        <f>IF(2&lt;=$B$7,EXP(2-2*(2-1)/(IF($B$7&gt;1,$B$7-1,1))),0)</f>
        <v>5.9166935906643294</v>
      </c>
      <c r="D36" s="14">
        <f>IF(2&lt;=$B$7,IF(SUM(C35:C54)&gt;0,C36/SUM(C35:C54),0),0)</f>
        <v>0.17894940809930326</v>
      </c>
      <c r="E36" s="15">
        <f>IF(2&lt;=$B$7,IF(ISNUMBER(D36),$B$4*D36,0),0)</f>
        <v>1789.4940809930326</v>
      </c>
      <c r="F36" s="18">
        <f>IF(2&lt;=$B$7,IF(AND(ISNUMBER(E36),SUM(E35:E54)&gt;0),E36*($B$4/SUM(E35:E54)),0),0)</f>
        <v>1789.4940809930326</v>
      </c>
      <c r="G36" s="19">
        <f>IF(2&lt;=$B$7,IF(B36&gt;0,F36/B36,0),0)</f>
        <v>48.804384027082712</v>
      </c>
      <c r="H36" s="18">
        <f>IF(2&lt;=$B$7,F36+H35,0)</f>
        <v>4024.301740126386</v>
      </c>
      <c r="I36" s="19">
        <f>IF(2&lt;=$B$7,G36+I35,0)</f>
        <v>112.65603143089281</v>
      </c>
      <c r="J36" s="18">
        <f>IF(2&lt;=$B$7,IF(I36&gt;0,H36/I36,0),0)</f>
        <v>35.722026499708846</v>
      </c>
      <c r="K36" t="str">
        <f t="shared" si="0"/>
        <v>Yes</v>
      </c>
    </row>
    <row r="37" spans="1:11" x14ac:dyDescent="0.35">
      <c r="A37" s="17">
        <v>3</v>
      </c>
      <c r="B37" s="18">
        <f>IF(3&lt;=$B$7,Helpers!$B$6+(Helpers!$B$5-Helpers!$B$6)*(3-1)/(IF($B$7&gt;1,$B$7-1,1)),0)</f>
        <v>38.333333333333336</v>
      </c>
      <c r="C37" s="14">
        <f>IF(3&lt;=$B$7,EXP(2-2*(3-1)/(IF($B$7&gt;1,$B$7-1,1))),0)</f>
        <v>4.7377178596430793</v>
      </c>
      <c r="D37" s="14">
        <f>IF(3&lt;=$B$7,IF(SUM(C35:C54)&gt;0,C37/SUM(C35:C54),0),0)</f>
        <v>0.14329148429493613</v>
      </c>
      <c r="E37" s="15">
        <f>IF(3&lt;=$B$7,IF(ISNUMBER(D37),$B$4*D37,0),0)</f>
        <v>1432.9148429493612</v>
      </c>
      <c r="F37" s="18">
        <f>IF(3&lt;=$B$7,IF(AND(ISNUMBER(E37),SUM(E35:E54)&gt;0),E37*($B$4/SUM(E35:E54)),0),0)</f>
        <v>1432.9148429493612</v>
      </c>
      <c r="G37" s="19">
        <f>IF(3&lt;=$B$7,IF(B37&gt;0,F37/B37,0),0)</f>
        <v>37.380387207374639</v>
      </c>
      <c r="H37" s="18">
        <f>IF(3&lt;=$B$7,F37+H36,0)</f>
        <v>5457.2165830757476</v>
      </c>
      <c r="I37" s="19">
        <f>IF(3&lt;=$B$7,G37+I36,0)</f>
        <v>150.03641863826743</v>
      </c>
      <c r="J37" s="18">
        <f>IF(3&lt;=$B$7,IF(I37&gt;0,H37/I37,0),0)</f>
        <v>36.37261294694661</v>
      </c>
      <c r="K37" t="str">
        <f t="shared" si="0"/>
        <v>Yes</v>
      </c>
    </row>
    <row r="38" spans="1:11" x14ac:dyDescent="0.35">
      <c r="A38" s="17">
        <v>4</v>
      </c>
      <c r="B38" s="18">
        <f>IF(4&lt;=$B$7,Helpers!$B$6+(Helpers!$B$5-Helpers!$B$6)*(4-1)/(IF($B$7&gt;1,$B$7-1,1)),0)</f>
        <v>40</v>
      </c>
      <c r="C38" s="14">
        <f>IF(4&lt;=$B$7,EXP(2-2*(4-1)/(IF($B$7&gt;1,$B$7-1,1))),0)</f>
        <v>3.7936678946831783</v>
      </c>
      <c r="D38" s="14">
        <f>IF(4&lt;=$B$7,IF(SUM(C35:C54)&gt;0,C38/SUM(C35:C54),0),0)</f>
        <v>0.11473885099442174</v>
      </c>
      <c r="E38" s="15">
        <f>IF(4&lt;=$B$7,IF(ISNUMBER(D38),$B$4*D38,0),0)</f>
        <v>1147.3885099442175</v>
      </c>
      <c r="F38" s="18">
        <f>IF(4&lt;=$B$7,IF(AND(ISNUMBER(E38),SUM(E35:E54)&gt;0),E38*($B$4/SUM(E35:E54)),0),0)</f>
        <v>1147.3885099442175</v>
      </c>
      <c r="G38" s="19">
        <f>IF(4&lt;=$B$7,IF(B38&gt;0,F38/B38,0),0)</f>
        <v>28.684712748605438</v>
      </c>
      <c r="H38" s="18">
        <f>IF(4&lt;=$B$7,F38+H37,0)</f>
        <v>6604.6050930199654</v>
      </c>
      <c r="I38" s="19">
        <f>IF(4&lt;=$B$7,G38+I37,0)</f>
        <v>178.72113138687288</v>
      </c>
      <c r="J38" s="18">
        <f>IF(4&lt;=$B$7,IF(I38&gt;0,H38/I38,0),0)</f>
        <v>36.954807983635419</v>
      </c>
      <c r="K38" t="str">
        <f t="shared" si="0"/>
        <v>Yes</v>
      </c>
    </row>
    <row r="39" spans="1:11" x14ac:dyDescent="0.35">
      <c r="A39" s="17">
        <v>5</v>
      </c>
      <c r="B39" s="18">
        <f>IF(5&lt;=$B$7,Helpers!$B$6+(Helpers!$B$5-Helpers!$B$6)*(5-1)/(IF($B$7&gt;1,$B$7-1,1)),0)</f>
        <v>41.666666666666664</v>
      </c>
      <c r="C39" s="14">
        <f>IF(5&lt;=$B$7,EXP(2-2*(5-1)/(IF($B$7&gt;1,$B$7-1,1))),0)</f>
        <v>3.0377317775174828</v>
      </c>
      <c r="D39" s="14">
        <f>IF(5&lt;=$B$7,IF(SUM(C35:C54)&gt;0,C39/SUM(C35:C54),0),0)</f>
        <v>9.1875689558931883E-2</v>
      </c>
      <c r="E39" s="15">
        <f>IF(5&lt;=$B$7,IF(ISNUMBER(D39),$B$4*D39,0),0)</f>
        <v>918.75689558931879</v>
      </c>
      <c r="F39" s="18">
        <f>IF(5&lt;=$B$7,IF(AND(ISNUMBER(E39),SUM(E35:E54)&gt;0),E39*($B$4/SUM(E35:E54)),0),0)</f>
        <v>918.75689558931879</v>
      </c>
      <c r="G39" s="19">
        <f>IF(5&lt;=$B$7,IF(B39&gt;0,F39/B39,0),0)</f>
        <v>22.050165494143652</v>
      </c>
      <c r="H39" s="18">
        <f>IF(5&lt;=$B$7,F39+H38,0)</f>
        <v>7523.3619886092838</v>
      </c>
      <c r="I39" s="19">
        <f>IF(5&lt;=$B$7,G39+I38,0)</f>
        <v>200.77129688101653</v>
      </c>
      <c r="J39" s="18">
        <f>IF(5&lt;=$B$7,IF(I39&gt;0,H39/I39,0),0)</f>
        <v>37.472298607842674</v>
      </c>
      <c r="K39" t="str">
        <f t="shared" si="0"/>
        <v>Yes</v>
      </c>
    </row>
    <row r="40" spans="1:11" x14ac:dyDescent="0.35">
      <c r="A40" s="17">
        <v>6</v>
      </c>
      <c r="B40" s="18">
        <f>IF(6&lt;=$B$7,Helpers!$B$6+(Helpers!$B$5-Helpers!$B$6)*(6-1)/(IF($B$7&gt;1,$B$7-1,1)),0)</f>
        <v>43.333333333333336</v>
      </c>
      <c r="C40" s="14">
        <f>IF(6&lt;=$B$7,EXP(2-2*(6-1)/(IF($B$7&gt;1,$B$7-1,1))),0)</f>
        <v>2.4324254542872077</v>
      </c>
      <c r="D40" s="14">
        <f>IF(6&lt;=$B$7,IF(SUM(C35:C54)&gt;0,C40/SUM(C35:C54),0),0)</f>
        <v>7.3568301048609994E-2</v>
      </c>
      <c r="E40" s="15">
        <f>IF(6&lt;=$B$7,IF(ISNUMBER(D40),$B$4*D40,0),0)</f>
        <v>735.68301048609999</v>
      </c>
      <c r="F40" s="18">
        <f>IF(6&lt;=$B$7,IF(AND(ISNUMBER(E40),SUM(E35:E54)&gt;0),E40*($B$4/SUM(E35:E54)),0),0)</f>
        <v>735.68301048609999</v>
      </c>
      <c r="G40" s="19">
        <f>IF(6&lt;=$B$7,IF(B40&gt;0,F40/B40,0),0)</f>
        <v>16.977300241986921</v>
      </c>
      <c r="H40" s="18">
        <f>IF(6&lt;=$B$7,F40+H39,0)</f>
        <v>8259.0449990953839</v>
      </c>
      <c r="I40" s="19">
        <f>IF(6&lt;=$B$7,G40+I39,0)</f>
        <v>217.74859712300344</v>
      </c>
      <c r="J40" s="18">
        <f>IF(6&lt;=$B$7,IF(I40&gt;0,H40/I40,0),0)</f>
        <v>37.929268469316263</v>
      </c>
      <c r="K40" t="str">
        <f t="shared" si="0"/>
        <v>Yes</v>
      </c>
    </row>
    <row r="41" spans="1:11" x14ac:dyDescent="0.35">
      <c r="A41" s="17">
        <v>7</v>
      </c>
      <c r="B41" s="18">
        <f>IF(7&lt;=$B$7,Helpers!$B$6+(Helpers!$B$5-Helpers!$B$6)*(7-1)/(IF($B$7&gt;1,$B$7-1,1)),0)</f>
        <v>45</v>
      </c>
      <c r="C41" s="14">
        <f>IF(7&lt;=$B$7,EXP(2-2*(7-1)/(IF($B$7&gt;1,$B$7-1,1))),0)</f>
        <v>1.947734041054676</v>
      </c>
      <c r="D41" s="14">
        <f>IF(7&lt;=$B$7,IF(SUM(C35:C54)&gt;0,C41/SUM(C35:C54),0),0)</f>
        <v>5.8908890318665863E-2</v>
      </c>
      <c r="E41" s="15">
        <f>IF(7&lt;=$B$7,IF(ISNUMBER(D41),$B$4*D41,0),0)</f>
        <v>589.08890318665863</v>
      </c>
      <c r="F41" s="18">
        <f>IF(7&lt;=$B$7,IF(AND(ISNUMBER(E41),SUM(E35:E54)&gt;0),E41*($B$4/SUM(E35:E54)),0),0)</f>
        <v>589.08890318665863</v>
      </c>
      <c r="G41" s="19">
        <f>IF(7&lt;=$B$7,IF(B41&gt;0,F41/B41,0),0)</f>
        <v>13.090864515259081</v>
      </c>
      <c r="H41" s="18">
        <f>IF(7&lt;=$B$7,F41+H40,0)</f>
        <v>8848.133902282043</v>
      </c>
      <c r="I41" s="19">
        <f>IF(7&lt;=$B$7,G41+I40,0)</f>
        <v>230.83946163826252</v>
      </c>
      <c r="J41" s="18">
        <f>IF(7&lt;=$B$7,IF(I41&gt;0,H41/I41,0),0)</f>
        <v>38.330248387719472</v>
      </c>
      <c r="K41" t="str">
        <f t="shared" si="0"/>
        <v>Yes</v>
      </c>
    </row>
    <row r="42" spans="1:11" x14ac:dyDescent="0.35">
      <c r="A42" s="17">
        <v>8</v>
      </c>
      <c r="B42" s="18">
        <f>IF(8&lt;=$B$7,Helpers!$B$6+(Helpers!$B$5-Helpers!$B$6)*(8-1)/(IF($B$7&gt;1,$B$7-1,1)),0)</f>
        <v>46.666666666666664</v>
      </c>
      <c r="C42" s="14">
        <f>IF(8&lt;=$B$7,EXP(2-2*(8-1)/(IF($B$7&gt;1,$B$7-1,1))),0)</f>
        <v>1.5596234976067807</v>
      </c>
      <c r="D42" s="14">
        <f>IF(8&lt;=$B$7,IF(SUM(C35:C54)&gt;0,C42/SUM(C35:C54),0),0)</f>
        <v>4.7170551842479598E-2</v>
      </c>
      <c r="E42" s="15">
        <f>IF(8&lt;=$B$7,IF(ISNUMBER(D42),$B$4*D42,0),0)</f>
        <v>471.70551842479597</v>
      </c>
      <c r="F42" s="18">
        <f>IF(8&lt;=$B$7,IF(AND(ISNUMBER(E42),SUM(E35:E54)&gt;0),E42*($B$4/SUM(E35:E54)),0),0)</f>
        <v>471.70551842479597</v>
      </c>
      <c r="G42" s="19">
        <f>IF(8&lt;=$B$7,IF(B42&gt;0,F42/B42,0),0)</f>
        <v>10.107975394817057</v>
      </c>
      <c r="H42" s="18">
        <f>IF(8&lt;=$B$7,F42+H41,0)</f>
        <v>9319.8394207068395</v>
      </c>
      <c r="I42" s="19">
        <f>IF(8&lt;=$B$7,G42+I41,0)</f>
        <v>240.94743703307958</v>
      </c>
      <c r="J42" s="18">
        <f>IF(8&lt;=$B$7,IF(I42&gt;0,H42/I42,0),0)</f>
        <v>38.679969106404407</v>
      </c>
      <c r="K42" t="str">
        <f t="shared" si="0"/>
        <v>Yes</v>
      </c>
    </row>
    <row r="43" spans="1:11" x14ac:dyDescent="0.35">
      <c r="A43" s="17">
        <v>9</v>
      </c>
      <c r="B43" s="18">
        <f>IF(9&lt;=$B$7,Helpers!$B$6+(Helpers!$B$5-Helpers!$B$6)*(9-1)/(IF($B$7&gt;1,$B$7-1,1)),0)</f>
        <v>48.333333333333336</v>
      </c>
      <c r="C43" s="14">
        <f>IF(9&lt;=$B$7,EXP(2-2*(9-1)/(IF($B$7&gt;1,$B$7-1,1))),0)</f>
        <v>1.2488488690016823</v>
      </c>
      <c r="D43" s="14">
        <f>IF(9&lt;=$B$7,IF(SUM(C35:C54)&gt;0,C43/SUM(C35:C54),0),0)</f>
        <v>3.7771225176499772E-2</v>
      </c>
      <c r="E43" s="15">
        <f>IF(9&lt;=$B$7,IF(ISNUMBER(D43),$B$4*D43,0),0)</f>
        <v>377.71225176499769</v>
      </c>
      <c r="F43" s="18">
        <f>IF(9&lt;=$B$7,IF(AND(ISNUMBER(E43),SUM(E35:E54)&gt;0),E43*($B$4/SUM(E35:E54)),0),0)</f>
        <v>377.71225176499769</v>
      </c>
      <c r="G43" s="19">
        <f>IF(9&lt;=$B$7,IF(B43&gt;0,F43/B43,0),0)</f>
        <v>7.8147362434137451</v>
      </c>
      <c r="H43" s="18">
        <f>IF(9&lt;=$B$7,F43+H42,0)</f>
        <v>9697.5516724718364</v>
      </c>
      <c r="I43" s="19">
        <f>IF(9&lt;=$B$7,G43+I42,0)</f>
        <v>248.76217327649331</v>
      </c>
      <c r="J43" s="18">
        <f>IF(9&lt;=$B$7,IF(I43&gt;0,H43/I43,0),0)</f>
        <v>38.983224598593758</v>
      </c>
      <c r="K43" t="str">
        <f t="shared" si="0"/>
        <v>Yes</v>
      </c>
    </row>
    <row r="44" spans="1:11" x14ac:dyDescent="0.35">
      <c r="A44" s="17">
        <v>10</v>
      </c>
      <c r="B44" s="18">
        <f>IF(10&lt;=$B$7,Helpers!$B$6+(Helpers!$B$5-Helpers!$B$6)*(10-1)/(IF($B$7&gt;1,$B$7-1,1)),0)</f>
        <v>50</v>
      </c>
      <c r="C44" s="14">
        <f>IF(10&lt;=$B$7,EXP(2-2*(10-1)/(IF($B$7&gt;1,$B$7-1,1))),0)</f>
        <v>1</v>
      </c>
      <c r="D44" s="14">
        <f>IF(10&lt;=$B$7,IF(SUM(C35:C54)&gt;0,C44/SUM(C35:C54),0),0)</f>
        <v>3.0244832752816378E-2</v>
      </c>
      <c r="E44" s="15">
        <f>IF(10&lt;=$B$7,IF(ISNUMBER(D44),$B$4*D44,0),0)</f>
        <v>302.44832752816376</v>
      </c>
      <c r="F44" s="18">
        <f>IF(10&lt;=$B$7,IF(AND(ISNUMBER(E44),SUM(E35:E54)&gt;0),E44*($B$4/SUM(E35:E54)),0),0)</f>
        <v>302.44832752816376</v>
      </c>
      <c r="G44" s="19">
        <f>IF(10&lt;=$B$7,IF(B44&gt;0,F44/B44,0),0)</f>
        <v>6.048966550563275</v>
      </c>
      <c r="H44" s="18">
        <f>IF(10&lt;=$B$7,F44+H43,0)</f>
        <v>10000</v>
      </c>
      <c r="I44" s="19">
        <f>IF(10&lt;=$B$7,G44+I43,0)</f>
        <v>254.81113982705659</v>
      </c>
      <c r="J44" s="18">
        <f>IF(10&lt;=$B$7,IF(I44&gt;0,H44/I44,0),0)</f>
        <v>39.244752041795039</v>
      </c>
      <c r="K44" t="str">
        <f t="shared" si="0"/>
        <v>Yes</v>
      </c>
    </row>
    <row r="45" spans="1:11" x14ac:dyDescent="0.35">
      <c r="A45" s="17">
        <v>11</v>
      </c>
      <c r="B45" s="18">
        <f>IF(11&lt;=$B$7,Helpers!$B$6+(Helpers!$B$5-Helpers!$B$6)*(11-1)/(IF($B$7&gt;1,$B$7-1,1)),0)</f>
        <v>0</v>
      </c>
      <c r="C45" s="14">
        <f>IF(11&lt;=$B$7,EXP(2-2*(11-1)/(IF($B$7&gt;1,$B$7-1,1))),0)</f>
        <v>0</v>
      </c>
      <c r="D45" s="14">
        <f>IF(11&lt;=$B$7,IF(SUM(C35:C54)&gt;0,C45/SUM(C35:C54),0),0)</f>
        <v>0</v>
      </c>
      <c r="E45" s="15">
        <f>IF(11&lt;=$B$7,IF(ISNUMBER(D45),$B$4*D45,0),0)</f>
        <v>0</v>
      </c>
      <c r="F45" s="18">
        <f>IF(11&lt;=$B$7,IF(AND(ISNUMBER(E45),SUM(E35:E54)&gt;0),E45*($B$4/SUM(E35:E54)),0),0)</f>
        <v>0</v>
      </c>
      <c r="G45" s="19">
        <f>IF(11&lt;=$B$7,IF(B45&gt;0,F45/B45,0),0)</f>
        <v>0</v>
      </c>
      <c r="H45" s="18">
        <f>IF(11&lt;=$B$7,F45+H44,0)</f>
        <v>0</v>
      </c>
      <c r="I45" s="19">
        <f>IF(11&lt;=$B$7,G45+I44,0)</f>
        <v>0</v>
      </c>
      <c r="J45" s="18">
        <f>IF(11&lt;=$B$7,IF(I45&gt;0,H45/I45,0),0)</f>
        <v>0</v>
      </c>
      <c r="K45" t="str">
        <f t="shared" si="0"/>
        <v>No</v>
      </c>
    </row>
    <row r="46" spans="1:11" x14ac:dyDescent="0.35">
      <c r="A46" s="17">
        <v>12</v>
      </c>
      <c r="B46" s="18">
        <f>IF(12&lt;=$B$7,Helpers!$B$6+(Helpers!$B$5-Helpers!$B$6)*(12-1)/(IF($B$7&gt;1,$B$7-1,1)),0)</f>
        <v>0</v>
      </c>
      <c r="C46" s="14">
        <f>IF(12&lt;=$B$7,EXP(2-2*(12-1)/(IF($B$7&gt;1,$B$7-1,1))),0)</f>
        <v>0</v>
      </c>
      <c r="D46" s="14">
        <f>IF(12&lt;=$B$7,IF(SUM(C35:C54)&gt;0,C46/SUM(C35:C54),0),0)</f>
        <v>0</v>
      </c>
      <c r="E46" s="15">
        <f>IF(12&lt;=$B$7,IF(ISNUMBER(D46),$B$4*D46,0),0)</f>
        <v>0</v>
      </c>
      <c r="F46" s="18">
        <f>IF(12&lt;=$B$7,IF(AND(ISNUMBER(E46),SUM(E35:E54)&gt;0),E46*($B$4/SUM(E35:E54)),0),0)</f>
        <v>0</v>
      </c>
      <c r="G46" s="19">
        <f>IF(12&lt;=$B$7,IF(B46&gt;0,F46/B46,0),0)</f>
        <v>0</v>
      </c>
      <c r="H46" s="18">
        <f>IF(12&lt;=$B$7,F46+H45,0)</f>
        <v>0</v>
      </c>
      <c r="I46" s="19">
        <f>IF(12&lt;=$B$7,G46+I45,0)</f>
        <v>0</v>
      </c>
      <c r="J46" s="18">
        <f>IF(12&lt;=$B$7,IF(I46&gt;0,H46/I46,0),0)</f>
        <v>0</v>
      </c>
      <c r="K46" t="str">
        <f t="shared" si="0"/>
        <v>No</v>
      </c>
    </row>
    <row r="47" spans="1:11" x14ac:dyDescent="0.35">
      <c r="A47" s="17">
        <v>13</v>
      </c>
      <c r="B47" s="18">
        <f>IF(13&lt;=$B$7,Helpers!$B$6+(Helpers!$B$5-Helpers!$B$6)*(13-1)/(IF($B$7&gt;1,$B$7-1,1)),0)</f>
        <v>0</v>
      </c>
      <c r="C47" s="14">
        <f>IF(13&lt;=$B$7,EXP(2-2*(13-1)/(IF($B$7&gt;1,$B$7-1,1))),0)</f>
        <v>0</v>
      </c>
      <c r="D47" s="14">
        <f>IF(13&lt;=$B$7,IF(SUM(C35:C54)&gt;0,C47/SUM(C35:C54),0),0)</f>
        <v>0</v>
      </c>
      <c r="E47" s="15">
        <f>IF(13&lt;=$B$7,IF(ISNUMBER(D47),$B$4*D47,0),0)</f>
        <v>0</v>
      </c>
      <c r="F47" s="18">
        <f>IF(13&lt;=$B$7,IF(AND(ISNUMBER(E47),SUM(E35:E54)&gt;0),E47*($B$4/SUM(E35:E54)),0),0)</f>
        <v>0</v>
      </c>
      <c r="G47" s="19">
        <f>IF(13&lt;=$B$7,IF(B47&gt;0,F47/B47,0),0)</f>
        <v>0</v>
      </c>
      <c r="H47" s="18">
        <f>IF(13&lt;=$B$7,F47+H46,0)</f>
        <v>0</v>
      </c>
      <c r="I47" s="19">
        <f>IF(13&lt;=$B$7,G47+I46,0)</f>
        <v>0</v>
      </c>
      <c r="J47" s="18">
        <f>IF(13&lt;=$B$7,IF(I47&gt;0,H47/I47,0),0)</f>
        <v>0</v>
      </c>
      <c r="K47" t="str">
        <f t="shared" si="0"/>
        <v>No</v>
      </c>
    </row>
    <row r="48" spans="1:11" x14ac:dyDescent="0.35">
      <c r="A48" s="17">
        <v>14</v>
      </c>
      <c r="B48" s="18">
        <f>IF(14&lt;=$B$7,Helpers!$B$6+(Helpers!$B$5-Helpers!$B$6)*(14-1)/(IF($B$7&gt;1,$B$7-1,1)),0)</f>
        <v>0</v>
      </c>
      <c r="C48" s="14">
        <f>IF(14&lt;=$B$7,EXP(2-2*(14-1)/(IF($B$7&gt;1,$B$7-1,1))),0)</f>
        <v>0</v>
      </c>
      <c r="D48" s="14">
        <f>IF(14&lt;=$B$7,IF(SUM(C35:C54)&gt;0,C48/SUM(C35:C54),0),0)</f>
        <v>0</v>
      </c>
      <c r="E48" s="15">
        <f>IF(14&lt;=$B$7,IF(ISNUMBER(D48),$B$4*D48,0),0)</f>
        <v>0</v>
      </c>
      <c r="F48" s="18">
        <f>IF(14&lt;=$B$7,IF(AND(ISNUMBER(E48),SUM(E35:E54)&gt;0),E48*($B$4/SUM(E35:E54)),0),0)</f>
        <v>0</v>
      </c>
      <c r="G48" s="19">
        <f>IF(14&lt;=$B$7,IF(B48&gt;0,F48/B48,0),0)</f>
        <v>0</v>
      </c>
      <c r="H48" s="18">
        <f>IF(14&lt;=$B$7,F48+H47,0)</f>
        <v>0</v>
      </c>
      <c r="I48" s="19">
        <f>IF(14&lt;=$B$7,G48+I47,0)</f>
        <v>0</v>
      </c>
      <c r="J48" s="18">
        <f>IF(14&lt;=$B$7,IF(I48&gt;0,H48/I48,0),0)</f>
        <v>0</v>
      </c>
      <c r="K48" t="str">
        <f t="shared" si="0"/>
        <v>No</v>
      </c>
    </row>
    <row r="49" spans="1:12" x14ac:dyDescent="0.35">
      <c r="A49" s="17">
        <v>15</v>
      </c>
      <c r="B49" s="18">
        <f>IF(15&lt;=$B$7,Helpers!$B$6+(Helpers!$B$5-Helpers!$B$6)*(15-1)/(IF($B$7&gt;1,$B$7-1,1)),0)</f>
        <v>0</v>
      </c>
      <c r="C49" s="14">
        <f>IF(15&lt;=$B$7,EXP(2-2*(15-1)/(IF($B$7&gt;1,$B$7-1,1))),0)</f>
        <v>0</v>
      </c>
      <c r="D49" s="14">
        <f>IF(15&lt;=$B$7,IF(SUM(C35:C54)&gt;0,C49/SUM(C35:C54),0),0)</f>
        <v>0</v>
      </c>
      <c r="E49" s="15">
        <f>IF(15&lt;=$B$7,IF(ISNUMBER(D49),$B$4*D49,0),0)</f>
        <v>0</v>
      </c>
      <c r="F49" s="18">
        <f>IF(15&lt;=$B$7,IF(AND(ISNUMBER(E49),SUM(E35:E54)&gt;0),E49*($B$4/SUM(E35:E54)),0),0)</f>
        <v>0</v>
      </c>
      <c r="G49" s="19">
        <f>IF(15&lt;=$B$7,IF(B49&gt;0,F49/B49,0),0)</f>
        <v>0</v>
      </c>
      <c r="H49" s="18">
        <f>IF(15&lt;=$B$7,F49+H48,0)</f>
        <v>0</v>
      </c>
      <c r="I49" s="19">
        <f>IF(15&lt;=$B$7,G49+I48,0)</f>
        <v>0</v>
      </c>
      <c r="J49" s="18">
        <f>IF(15&lt;=$B$7,IF(I49&gt;0,H49/I49,0),0)</f>
        <v>0</v>
      </c>
      <c r="K49" t="str">
        <f t="shared" si="0"/>
        <v>No</v>
      </c>
    </row>
    <row r="50" spans="1:12" x14ac:dyDescent="0.35">
      <c r="A50" s="17">
        <v>16</v>
      </c>
      <c r="B50" s="18">
        <f>IF(16&lt;=$B$7,Helpers!$B$6+(Helpers!$B$5-Helpers!$B$6)*(16-1)/(IF($B$7&gt;1,$B$7-1,1)),0)</f>
        <v>0</v>
      </c>
      <c r="C50" s="14">
        <f>IF(16&lt;=$B$7,EXP(2-2*(16-1)/(IF($B$7&gt;1,$B$7-1,1))),0)</f>
        <v>0</v>
      </c>
      <c r="D50" s="14">
        <f>IF(16&lt;=$B$7,IF(SUM(C35:C54)&gt;0,C50/SUM(C35:C54),0),0)</f>
        <v>0</v>
      </c>
      <c r="E50" s="15">
        <f>IF(16&lt;=$B$7,IF(ISNUMBER(D50),$B$4*D50,0),0)</f>
        <v>0</v>
      </c>
      <c r="F50" s="18">
        <f>IF(16&lt;=$B$7,IF(AND(ISNUMBER(E50),SUM(E35:E54)&gt;0),E50*($B$4/SUM(E35:E54)),0),0)</f>
        <v>0</v>
      </c>
      <c r="G50" s="19">
        <f>IF(16&lt;=$B$7,IF(B50&gt;0,F50/B50,0),0)</f>
        <v>0</v>
      </c>
      <c r="H50" s="18">
        <f>IF(16&lt;=$B$7,F50+H49,0)</f>
        <v>0</v>
      </c>
      <c r="I50" s="19">
        <f>IF(16&lt;=$B$7,G50+I49,0)</f>
        <v>0</v>
      </c>
      <c r="J50" s="18">
        <f>IF(16&lt;=$B$7,IF(I50&gt;0,H50/I50,0),0)</f>
        <v>0</v>
      </c>
      <c r="K50" t="str">
        <f t="shared" si="0"/>
        <v>No</v>
      </c>
    </row>
    <row r="51" spans="1:12" x14ac:dyDescent="0.35">
      <c r="A51" s="17">
        <v>17</v>
      </c>
      <c r="B51" s="18">
        <f>IF(17&lt;=$B$7,Helpers!$B$6+(Helpers!$B$5-Helpers!$B$6)*(17-1)/(IF($B$7&gt;1,$B$7-1,1)),0)</f>
        <v>0</v>
      </c>
      <c r="C51" s="14">
        <f>IF(17&lt;=$B$7,EXP(2-2*(17-1)/(IF($B$7&gt;1,$B$7-1,1))),0)</f>
        <v>0</v>
      </c>
      <c r="D51" s="14">
        <f>IF(17&lt;=$B$7,IF(SUM(C35:C54)&gt;0,C51/SUM(C35:C54),0),0)</f>
        <v>0</v>
      </c>
      <c r="E51" s="15">
        <f>IF(17&lt;=$B$7,IF(ISNUMBER(D51),$B$4*D51,0),0)</f>
        <v>0</v>
      </c>
      <c r="F51" s="18">
        <f>IF(17&lt;=$B$7,IF(AND(ISNUMBER(E51),SUM(E35:E54)&gt;0),E51*($B$4/SUM(E35:E54)),0),0)</f>
        <v>0</v>
      </c>
      <c r="G51" s="19">
        <f>IF(17&lt;=$B$7,IF(B51&gt;0,F51/B51,0),0)</f>
        <v>0</v>
      </c>
      <c r="H51" s="18">
        <f>IF(17&lt;=$B$7,F51+H50,0)</f>
        <v>0</v>
      </c>
      <c r="I51" s="19">
        <f>IF(17&lt;=$B$7,G51+I50,0)</f>
        <v>0</v>
      </c>
      <c r="J51" s="18">
        <f>IF(17&lt;=$B$7,IF(I51&gt;0,H51/I51,0),0)</f>
        <v>0</v>
      </c>
      <c r="K51" t="str">
        <f t="shared" si="0"/>
        <v>No</v>
      </c>
    </row>
    <row r="52" spans="1:12" x14ac:dyDescent="0.35">
      <c r="A52" s="17">
        <v>18</v>
      </c>
      <c r="B52" s="18">
        <f>IF(18&lt;=$B$7,Helpers!$B$6+(Helpers!$B$5-Helpers!$B$6)*(18-1)/(IF($B$7&gt;1,$B$7-1,1)),0)</f>
        <v>0</v>
      </c>
      <c r="C52" s="14">
        <f>IF(18&lt;=$B$7,EXP(2-2*(18-1)/(IF($B$7&gt;1,$B$7-1,1))),0)</f>
        <v>0</v>
      </c>
      <c r="D52" s="14">
        <f>IF(18&lt;=$B$7,IF(SUM(C35:C54)&gt;0,C52/SUM(C35:C54),0),0)</f>
        <v>0</v>
      </c>
      <c r="E52" s="15">
        <f>IF(18&lt;=$B$7,IF(ISNUMBER(D52),$B$4*D52,0),0)</f>
        <v>0</v>
      </c>
      <c r="F52" s="18">
        <f>IF(18&lt;=$B$7,IF(AND(ISNUMBER(E52),SUM(E35:E54)&gt;0),E52*($B$4/SUM(E35:E54)),0),0)</f>
        <v>0</v>
      </c>
      <c r="G52" s="19">
        <f>IF(18&lt;=$B$7,IF(B52&gt;0,F52/B52,0),0)</f>
        <v>0</v>
      </c>
      <c r="H52" s="18">
        <f>IF(18&lt;=$B$7,F52+H51,0)</f>
        <v>0</v>
      </c>
      <c r="I52" s="19">
        <f>IF(18&lt;=$B$7,G52+I51,0)</f>
        <v>0</v>
      </c>
      <c r="J52" s="18">
        <f>IF(18&lt;=$B$7,IF(I52&gt;0,H52/I52,0),0)</f>
        <v>0</v>
      </c>
      <c r="K52" t="str">
        <f t="shared" si="0"/>
        <v>No</v>
      </c>
    </row>
    <row r="53" spans="1:12" x14ac:dyDescent="0.35">
      <c r="A53" s="17">
        <v>19</v>
      </c>
      <c r="B53" s="18">
        <f>IF(19&lt;=$B$7,Helpers!$B$6+(Helpers!$B$5-Helpers!$B$6)*(19-1)/(IF($B$7&gt;1,$B$7-1,1)),0)</f>
        <v>0</v>
      </c>
      <c r="C53" s="14">
        <f>IF(19&lt;=$B$7,EXP(2-2*(19-1)/(IF($B$7&gt;1,$B$7-1,1))),0)</f>
        <v>0</v>
      </c>
      <c r="D53" s="14">
        <f>IF(19&lt;=$B$7,IF(SUM(C35:C54)&gt;0,C53/SUM(C35:C54),0),0)</f>
        <v>0</v>
      </c>
      <c r="E53" s="15">
        <f>IF(19&lt;=$B$7,IF(ISNUMBER(D53),$B$4*D53,0),0)</f>
        <v>0</v>
      </c>
      <c r="F53" s="18">
        <f>IF(19&lt;=$B$7,IF(AND(ISNUMBER(E53),SUM(E35:E54)&gt;0),E53*($B$4/SUM(E35:E54)),0),0)</f>
        <v>0</v>
      </c>
      <c r="G53" s="19">
        <f>IF(19&lt;=$B$7,IF(B53&gt;0,F53/B53,0),0)</f>
        <v>0</v>
      </c>
      <c r="H53" s="18">
        <f>IF(19&lt;=$B$7,F53+H52,0)</f>
        <v>0</v>
      </c>
      <c r="I53" s="19">
        <f>IF(19&lt;=$B$7,G53+I52,0)</f>
        <v>0</v>
      </c>
      <c r="J53" s="18">
        <f>IF(19&lt;=$B$7,IF(I53&gt;0,H53/I53,0),0)</f>
        <v>0</v>
      </c>
      <c r="K53" t="str">
        <f t="shared" si="0"/>
        <v>No</v>
      </c>
    </row>
    <row r="54" spans="1:12" x14ac:dyDescent="0.35">
      <c r="A54" s="17">
        <v>20</v>
      </c>
      <c r="B54" s="18">
        <f>IF(20&lt;=$B$7,Helpers!$B$6+(Helpers!$B$5-Helpers!$B$6)*(20-1)/(IF($B$7&gt;1,$B$7-1,1)),0)</f>
        <v>0</v>
      </c>
      <c r="C54" s="14">
        <f>IF(20&lt;=$B$7,EXP(2-2*(20-1)/(IF($B$7&gt;1,$B$7-1,1))),0)</f>
        <v>0</v>
      </c>
      <c r="D54" s="14">
        <f>IF(20&lt;=$B$7,IF(SUM(C35:C54)&gt;0,C54/SUM(C35:C54),0),0)</f>
        <v>0</v>
      </c>
      <c r="E54" s="15">
        <f>IF(20&lt;=$B$7,IF(ISNUMBER(D54),$B$4*D54,0),0)</f>
        <v>0</v>
      </c>
      <c r="F54" s="18">
        <f>IF(20&lt;=$B$7,IF(AND(ISNUMBER(E54),SUM(E35:E54)&gt;0),E54*($B$4/SUM(E35:E54)),0),0)</f>
        <v>0</v>
      </c>
      <c r="G54" s="19">
        <f>IF(20&lt;=$B$7,IF(B54&gt;0,F54/B54,0),0)</f>
        <v>0</v>
      </c>
      <c r="H54" s="18">
        <f>IF(20&lt;=$B$7,F54+H53,0)</f>
        <v>0</v>
      </c>
      <c r="I54" s="19">
        <f>IF(20&lt;=$B$7,G54+I53,0)</f>
        <v>0</v>
      </c>
      <c r="J54" s="18">
        <f>IF(20&lt;=$B$7,IF(I54&gt;0,H54/I54,0),0)</f>
        <v>0</v>
      </c>
      <c r="K54" t="str">
        <f t="shared" si="0"/>
        <v>No</v>
      </c>
    </row>
    <row r="59" spans="1:12" ht="22" customHeight="1" x14ac:dyDescent="0.4">
      <c r="A59" s="39" t="s">
        <v>23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idden="1" x14ac:dyDescent="0.35">
      <c r="A60" s="20">
        <v>1</v>
      </c>
      <c r="B60" s="15">
        <f>IF(1&lt;=$B$7,Helpers!$B$10+Helpers!$B$7*(1-1),0)</f>
        <v>70</v>
      </c>
      <c r="C60" s="21">
        <f>IF(1&lt;=$B$7,MAX(B60*Helpers!$B$19,Helpers!$B$20+Helpers!$B$7*(1-1)),0)</f>
        <v>59.848041982780529</v>
      </c>
      <c r="D60" s="14">
        <f>IF(1&lt;=$B$7,EXP(2*(1-1)/(IF($B$7&gt;1,$B$7-1,1))),0)</f>
        <v>1</v>
      </c>
      <c r="E60" s="14">
        <f>IF(1&lt;=$B$7,IF(SUM(D60:D79)&gt;0,D60/SUM(D60:D79),0),0)</f>
        <v>3.0244832752816378E-2</v>
      </c>
      <c r="F60" s="14">
        <f>IF(1&lt;=$B$7,Helpers!$B$13*E60,0)</f>
        <v>7.7067203076238346</v>
      </c>
      <c r="G60" s="22">
        <f>IF(1&lt;=$B$7,IF(AND(ISNUMBER(F60),SUM(F60:F79)&gt;0,Helpers!$B$13&gt;0),F60*(Helpers!$B$13/SUM(F60:F79)),0),0)</f>
        <v>7.7067203076238346</v>
      </c>
      <c r="H60" s="21">
        <f>IF(1&lt;=$B$7,C60*G60,0)</f>
        <v>461.23212052021853</v>
      </c>
      <c r="I60" s="21">
        <f>H60</f>
        <v>461.23212052021853</v>
      </c>
      <c r="J60" s="22">
        <f>G60</f>
        <v>7.7067203076238346</v>
      </c>
      <c r="K60" s="21">
        <f>IF(1&lt;=$B$7,IF(J60&gt;0,I60/J60,0),0)</f>
        <v>59.848041982780529</v>
      </c>
      <c r="L60" t="str">
        <f t="shared" ref="L60:L79" si="1">IF(AND(A60&lt;=$B$7,C60&gt;0,G60&gt;0,ISNUMBER(C60),ISNUMBER(G60)),"Yes","No")</f>
        <v>Yes</v>
      </c>
    </row>
    <row r="61" spans="1:12" hidden="1" x14ac:dyDescent="0.35">
      <c r="A61" s="23">
        <v>2</v>
      </c>
      <c r="B61" s="15">
        <f>IF(2&lt;=$B$7,Helpers!$B$10+Helpers!$B$7*(2-1),0)</f>
        <v>71.666666666666671</v>
      </c>
      <c r="C61" s="24">
        <f>IF(2&lt;=$B$7,MAX(B61*Helpers!$B$19,Helpers!$B$20+Helpers!$B$7*(2-1)),0)</f>
        <v>61.272995363322927</v>
      </c>
      <c r="D61" s="14">
        <f>IF(2&lt;=$B$7,EXP(2*(2-1)/(IF($B$7&gt;1,$B$7-1,1))),0)</f>
        <v>1.2488488690016821</v>
      </c>
      <c r="E61" s="14">
        <f>IF(2&lt;=$B$7,IF(SUM(D60:D79)&gt;0,D61/SUM(D60:D79),0),0)</f>
        <v>3.7771225176499765E-2</v>
      </c>
      <c r="F61" s="14">
        <f>IF(2&lt;=$B$7,Helpers!$B$13*E61,0)</f>
        <v>9.6245289398883216</v>
      </c>
      <c r="G61" s="25">
        <f>IF(2&lt;=$B$7,IF(AND(ISNUMBER(F61),SUM(F60:F79)&gt;0,Helpers!$B$13&gt;0),F61*(Helpers!$B$13/SUM(F60:F79)),0),0)</f>
        <v>9.6245289398883216</v>
      </c>
      <c r="H61" s="24">
        <f>IF(2&lt;=$B$7,C61*G61,0)</f>
        <v>589.72371710794448</v>
      </c>
      <c r="I61" s="24">
        <f>IF(2&lt;=$B$7,H61+I60,0)</f>
        <v>1050.955837628163</v>
      </c>
      <c r="J61" s="25">
        <f>IF(2&lt;=$B$7,G61+J60,0)</f>
        <v>17.331249247512154</v>
      </c>
      <c r="K61" s="24">
        <f>IF(2&lt;=$B$7,IF(J61&gt;0,I61/J61,0),0)</f>
        <v>60.639358572436684</v>
      </c>
      <c r="L61" t="str">
        <f t="shared" si="1"/>
        <v>Yes</v>
      </c>
    </row>
    <row r="62" spans="1:12" hidden="1" x14ac:dyDescent="0.35">
      <c r="A62" s="23">
        <v>3</v>
      </c>
      <c r="B62" s="15">
        <f>IF(3&lt;=$B$7,Helpers!$B$10+Helpers!$B$7*(3-1),0)</f>
        <v>73.333333333333329</v>
      </c>
      <c r="C62" s="24">
        <f>IF(3&lt;=$B$7,MAX(B62*Helpers!$B$19,Helpers!$B$20+Helpers!$B$7*(3-1)),0)</f>
        <v>62.697948743865318</v>
      </c>
      <c r="D62" s="14">
        <f>IF(3&lt;=$B$7,EXP(2*(3-1)/(IF($B$7&gt;1,$B$7-1,1))),0)</f>
        <v>1.5596234976067807</v>
      </c>
      <c r="E62" s="14">
        <f>IF(3&lt;=$B$7,IF(SUM(D60:D79)&gt;0,D62/SUM(D60:D79),0),0)</f>
        <v>4.7170551842479598E-2</v>
      </c>
      <c r="F62" s="14">
        <f>IF(3&lt;=$B$7,Helpers!$B$13*E62,0)</f>
        <v>12.019582081253491</v>
      </c>
      <c r="G62" s="25">
        <f>IF(3&lt;=$B$7,IF(AND(ISNUMBER(F62),SUM(F60:F79)&gt;0,Helpers!$B$13&gt;0),F62*(Helpers!$B$13/SUM(F60:F79)),0),0)</f>
        <v>12.019582081253491</v>
      </c>
      <c r="H62" s="24">
        <f>IF(3&lt;=$B$7,C62*G62,0)</f>
        <v>753.60314125311334</v>
      </c>
      <c r="I62" s="24">
        <f>IF(3&lt;=$B$7,H62+I61,0)</f>
        <v>1804.5589788812763</v>
      </c>
      <c r="J62" s="25">
        <f>IF(3&lt;=$B$7,G62+J61,0)</f>
        <v>29.350831328765643</v>
      </c>
      <c r="K62" s="24">
        <f>IF(3&lt;=$B$7,IF(J62&gt;0,I62/J62,0),0)</f>
        <v>61.482380470521669</v>
      </c>
      <c r="L62" t="str">
        <f t="shared" si="1"/>
        <v>Yes</v>
      </c>
    </row>
    <row r="63" spans="1:12" hidden="1" x14ac:dyDescent="0.35">
      <c r="A63" s="23">
        <v>4</v>
      </c>
      <c r="B63" s="15">
        <f>IF(4&lt;=$B$7,Helpers!$B$10+Helpers!$B$7*(4-1),0)</f>
        <v>75</v>
      </c>
      <c r="C63" s="24">
        <f>IF(4&lt;=$B$7,MAX(B63*Helpers!$B$19,Helpers!$B$20+Helpers!$B$7*(4-1)),0)</f>
        <v>64.122902124407716</v>
      </c>
      <c r="D63" s="14">
        <f>IF(4&lt;=$B$7,EXP(2*(4-1)/(IF($B$7&gt;1,$B$7-1,1))),0)</f>
        <v>1.9477340410546757</v>
      </c>
      <c r="E63" s="14">
        <f>IF(4&lt;=$B$7,IF(SUM(D60:D79)&gt;0,D63/SUM(D60:D79),0),0)</f>
        <v>5.8908890318665856E-2</v>
      </c>
      <c r="F63" s="14">
        <f>IF(4&lt;=$B$7,Helpers!$B$13*E63,0)</f>
        <v>15.010641488046305</v>
      </c>
      <c r="G63" s="25">
        <f>IF(4&lt;=$B$7,IF(AND(ISNUMBER(F63),SUM(F60:F79)&gt;0,Helpers!$B$13&gt;0),F63*(Helpers!$B$13/SUM(F60:F79)),0),0)</f>
        <v>15.010641488046305</v>
      </c>
      <c r="H63" s="24">
        <f>IF(4&lt;=$B$7,C63*G63,0)</f>
        <v>962.52589496256701</v>
      </c>
      <c r="I63" s="24">
        <f>IF(4&lt;=$B$7,H63+I62,0)</f>
        <v>2767.0848738438435</v>
      </c>
      <c r="J63" s="25">
        <f>IF(4&lt;=$B$7,G63+J62,0)</f>
        <v>44.361472816811947</v>
      </c>
      <c r="K63" s="24">
        <f>IF(4&lt;=$B$7,IF(J63&gt;0,I63/J63,0),0)</f>
        <v>62.375856754584213</v>
      </c>
      <c r="L63" t="str">
        <f t="shared" si="1"/>
        <v>Yes</v>
      </c>
    </row>
    <row r="64" spans="1:12" hidden="1" x14ac:dyDescent="0.35">
      <c r="A64" s="23">
        <v>5</v>
      </c>
      <c r="B64" s="15">
        <f>IF(5&lt;=$B$7,Helpers!$B$10+Helpers!$B$7*(5-1),0)</f>
        <v>76.666666666666671</v>
      </c>
      <c r="C64" s="24">
        <f>IF(5&lt;=$B$7,MAX(B64*Helpers!$B$19,Helpers!$B$20+Helpers!$B$7*(5-1)),0)</f>
        <v>65.547855504950107</v>
      </c>
      <c r="D64" s="14">
        <f>IF(5&lt;=$B$7,EXP(2*(5-1)/(IF($B$7&gt;1,$B$7-1,1))),0)</f>
        <v>2.4324254542872077</v>
      </c>
      <c r="E64" s="14">
        <f>IF(5&lt;=$B$7,IF(SUM(D60:D79)&gt;0,D64/SUM(D60:D79),0),0)</f>
        <v>7.3568301048609994E-2</v>
      </c>
      <c r="F64" s="14">
        <f>IF(5&lt;=$B$7,Helpers!$B$13*E64,0)</f>
        <v>18.746022645336357</v>
      </c>
      <c r="G64" s="25">
        <f>IF(5&lt;=$B$7,IF(AND(ISNUMBER(F64),SUM(F60:F79)&gt;0,Helpers!$B$13&gt;0),F64*(Helpers!$B$13/SUM(F60:F79)),0),0)</f>
        <v>18.746022645336357</v>
      </c>
      <c r="H64" s="24">
        <f>IF(5&lt;=$B$7,C64*G64,0)</f>
        <v>1228.7615836490302</v>
      </c>
      <c r="I64" s="24">
        <f>IF(5&lt;=$B$7,H64+I63,0)</f>
        <v>3995.8464574928739</v>
      </c>
      <c r="J64" s="25">
        <f>IF(5&lt;=$B$7,G64+J63,0)</f>
        <v>63.107495462148307</v>
      </c>
      <c r="K64" s="24">
        <f>IF(5&lt;=$B$7,IF(J64&gt;0,I64/J64,0),0)</f>
        <v>63.318096023784861</v>
      </c>
      <c r="L64" t="str">
        <f t="shared" si="1"/>
        <v>Yes</v>
      </c>
    </row>
    <row r="65" spans="1:12" hidden="1" x14ac:dyDescent="0.35">
      <c r="A65" s="23">
        <v>6</v>
      </c>
      <c r="B65" s="15">
        <f>IF(6&lt;=$B$7,Helpers!$B$10+Helpers!$B$7*(6-1),0)</f>
        <v>78.333333333333329</v>
      </c>
      <c r="C65" s="24">
        <f>IF(6&lt;=$B$7,MAX(B65*Helpers!$B$19,Helpers!$B$20+Helpers!$B$7*(6-1)),0)</f>
        <v>66.972808885492498</v>
      </c>
      <c r="D65" s="14">
        <f>IF(6&lt;=$B$7,EXP(2*(6-1)/(IF($B$7&gt;1,$B$7-1,1))),0)</f>
        <v>3.0377317775174828</v>
      </c>
      <c r="E65" s="14">
        <f>IF(6&lt;=$B$7,IF(SUM(D60:D79)&gt;0,D65/SUM(D60:D79),0),0)</f>
        <v>9.1875689558931883E-2</v>
      </c>
      <c r="F65" s="14">
        <f>IF(6&lt;=$B$7,Helpers!$B$13*E65,0)</f>
        <v>23.410949178908236</v>
      </c>
      <c r="G65" s="25">
        <f>IF(6&lt;=$B$7,IF(AND(ISNUMBER(F65),SUM(F60:F79)&gt;0,Helpers!$B$13&gt;0),F65*(Helpers!$B$13/SUM(F60:F79)),0),0)</f>
        <v>23.410949178908236</v>
      </c>
      <c r="H65" s="24">
        <f>IF(6&lt;=$B$7,C65*G65,0)</f>
        <v>1567.8970251869989</v>
      </c>
      <c r="I65" s="24">
        <f>IF(6&lt;=$B$7,H65+I64,0)</f>
        <v>5563.7434826798726</v>
      </c>
      <c r="J65" s="25">
        <f>IF(6&lt;=$B$7,G65+J64,0)</f>
        <v>86.518444641056547</v>
      </c>
      <c r="K65" s="24">
        <f>IF(6&lt;=$B$7,IF(J65&gt;0,I65/J65,0),0)</f>
        <v>64.307021534684964</v>
      </c>
      <c r="L65" t="str">
        <f t="shared" si="1"/>
        <v>Yes</v>
      </c>
    </row>
    <row r="66" spans="1:12" hidden="1" x14ac:dyDescent="0.35">
      <c r="A66" s="23">
        <v>7</v>
      </c>
      <c r="B66" s="15">
        <f>IF(7&lt;=$B$7,Helpers!$B$10+Helpers!$B$7*(7-1),0)</f>
        <v>80</v>
      </c>
      <c r="C66" s="24">
        <f>IF(7&lt;=$B$7,MAX(B66*Helpers!$B$19,Helpers!$B$20+Helpers!$B$7*(7-1)),0)</f>
        <v>68.397762266034889</v>
      </c>
      <c r="D66" s="14">
        <f>IF(7&lt;=$B$7,EXP(2*(7-1)/(IF($B$7&gt;1,$B$7-1,1))),0)</f>
        <v>3.7936678946831774</v>
      </c>
      <c r="E66" s="14">
        <f>IF(7&lt;=$B$7,IF(SUM(D60:D79)&gt;0,D66/SUM(D60:D79),0),0)</f>
        <v>0.11473885099442171</v>
      </c>
      <c r="F66" s="14">
        <f>IF(7&lt;=$B$7,Helpers!$B$13*E66,0)</f>
        <v>29.236737404335404</v>
      </c>
      <c r="G66" s="25">
        <f>IF(7&lt;=$B$7,IF(AND(ISNUMBER(F66),SUM(F60:F79)&gt;0,Helpers!$B$13&gt;0),F66*(Helpers!$B$13/SUM(F60:F79)),0),0)</f>
        <v>29.236737404335404</v>
      </c>
      <c r="H66" s="24">
        <f>IF(7&lt;=$B$7,C66*G66,0)</f>
        <v>1999.7274144162229</v>
      </c>
      <c r="I66" s="24">
        <f>IF(7&lt;=$B$7,H66+I65,0)</f>
        <v>7563.4708970960955</v>
      </c>
      <c r="J66" s="25">
        <f>IF(7&lt;=$B$7,G66+J65,0)</f>
        <v>115.75518204539195</v>
      </c>
      <c r="K66" s="24">
        <f>IF(7&lt;=$B$7,IF(J66&gt;0,I66/J66,0),0)</f>
        <v>65.34023586201242</v>
      </c>
      <c r="L66" t="str">
        <f t="shared" si="1"/>
        <v>Yes</v>
      </c>
    </row>
    <row r="67" spans="1:12" hidden="1" x14ac:dyDescent="0.35">
      <c r="A67" s="23">
        <v>8</v>
      </c>
      <c r="B67" s="15">
        <f>IF(8&lt;=$B$7,Helpers!$B$10+Helpers!$B$7*(8-1),0)</f>
        <v>81.666666666666671</v>
      </c>
      <c r="C67" s="24">
        <f>IF(8&lt;=$B$7,MAX(B67*Helpers!$B$19,Helpers!$B$20+Helpers!$B$7*(8-1)),0)</f>
        <v>69.822715646577294</v>
      </c>
      <c r="D67" s="14">
        <f>IF(8&lt;=$B$7,EXP(2*(8-1)/(IF($B$7&gt;1,$B$7-1,1))),0)</f>
        <v>4.7377178596430793</v>
      </c>
      <c r="E67" s="14">
        <f>IF(8&lt;=$B$7,IF(SUM(D60:D79)&gt;0,D67/SUM(D60:D79),0),0)</f>
        <v>0.14329148429493613</v>
      </c>
      <c r="F67" s="14">
        <f>IF(8&lt;=$B$7,Helpers!$B$13*E67,0)</f>
        <v>36.512266440703456</v>
      </c>
      <c r="G67" s="25">
        <f>IF(8&lt;=$B$7,IF(AND(ISNUMBER(F67),SUM(F60:F79)&gt;0,Helpers!$B$13&gt;0),F67*(Helpers!$B$13/SUM(F60:F79)),0),0)</f>
        <v>36.512266440703456</v>
      </c>
      <c r="H67" s="24">
        <f>IF(8&lt;=$B$7,C67*G67,0)</f>
        <v>2549.3855973013042</v>
      </c>
      <c r="I67" s="24">
        <f>IF(8&lt;=$B$7,H67+I66,0)</f>
        <v>10112.8564943974</v>
      </c>
      <c r="J67" s="25">
        <f>IF(8&lt;=$B$7,G67+J66,0)</f>
        <v>152.26744848609542</v>
      </c>
      <c r="K67" s="24">
        <f>IF(8&lt;=$B$7,IF(J67&gt;0,I67/J67,0),0)</f>
        <v>66.415091307718825</v>
      </c>
      <c r="L67" t="str">
        <f t="shared" si="1"/>
        <v>Yes</v>
      </c>
    </row>
    <row r="68" spans="1:12" hidden="1" x14ac:dyDescent="0.35">
      <c r="A68" s="23">
        <v>9</v>
      </c>
      <c r="B68" s="15">
        <f>IF(9&lt;=$B$7,Helpers!$B$10+Helpers!$B$7*(9-1),0)</f>
        <v>83.333333333333329</v>
      </c>
      <c r="C68" s="24">
        <f>IF(9&lt;=$B$7,MAX(B68*Helpers!$B$19,Helpers!$B$20+Helpers!$B$7*(9-1)),0)</f>
        <v>71.24766902711967</v>
      </c>
      <c r="D68" s="14">
        <f>IF(9&lt;=$B$7,EXP(2*(9-1)/(IF($B$7&gt;1,$B$7-1,1))),0)</f>
        <v>5.9166935906643294</v>
      </c>
      <c r="E68" s="14">
        <f>IF(9&lt;=$B$7,IF(SUM(D60:D79)&gt;0,D68/SUM(D60:D79),0),0)</f>
        <v>0.17894940809930326</v>
      </c>
      <c r="F68" s="14">
        <f>IF(9&lt;=$B$7,Helpers!$B$13*E68,0)</f>
        <v>45.59830264916058</v>
      </c>
      <c r="G68" s="25">
        <f>IF(9&lt;=$B$7,IF(AND(ISNUMBER(F68),SUM(F60:F79)&gt;0,Helpers!$B$13&gt;0),F68*(Helpers!$B$13/SUM(F60:F79)),0),0)</f>
        <v>45.59830264916058</v>
      </c>
      <c r="H68" s="24">
        <f>IF(9&lt;=$B$7,C68*G68,0)</f>
        <v>3248.7727753458271</v>
      </c>
      <c r="I68" s="24">
        <f>IF(9&lt;=$B$7,H68+I67,0)</f>
        <v>13361.629269743227</v>
      </c>
      <c r="J68" s="25">
        <f>IF(9&lt;=$B$7,G68+J67,0)</f>
        <v>197.865751135256</v>
      </c>
      <c r="K68" s="24">
        <f>IF(9&lt;=$B$7,IF(J68&gt;0,I68/J68,0),0)</f>
        <v>67.528762269775314</v>
      </c>
      <c r="L68" t="str">
        <f t="shared" si="1"/>
        <v>Yes</v>
      </c>
    </row>
    <row r="69" spans="1:12" hidden="1" x14ac:dyDescent="0.35">
      <c r="A69" s="23">
        <v>10</v>
      </c>
      <c r="B69" s="15">
        <f>IF(10&lt;=$B$7,Helpers!$B$10+Helpers!$B$7*(10-1),0)</f>
        <v>85</v>
      </c>
      <c r="C69" s="24">
        <f>IF(10&lt;=$B$7,MAX(B69*Helpers!$B$19,Helpers!$B$20+Helpers!$B$7*(10-1)),0)</f>
        <v>72.672622407662075</v>
      </c>
      <c r="D69" s="14">
        <f>IF(10&lt;=$B$7,EXP(2*(10-1)/(IF($B$7&gt;1,$B$7-1,1))),0)</f>
        <v>7.3890560989306504</v>
      </c>
      <c r="E69" s="14">
        <f>IF(10&lt;=$B$7,IF(SUM(D60:D79)&gt;0,D69/SUM(D60:D79),0),0)</f>
        <v>0.22348076591333535</v>
      </c>
      <c r="F69" s="14">
        <f>IF(10&lt;=$B$7,Helpers!$B$13*E69,0)</f>
        <v>56.945388691800595</v>
      </c>
      <c r="G69" s="25">
        <f>IF(10&lt;=$B$7,IF(AND(ISNUMBER(F69),SUM(F60:F79)&gt;0,Helpers!$B$13&gt;0),F69*(Helpers!$B$13/SUM(F60:F79)),0),0)</f>
        <v>56.945388691800595</v>
      </c>
      <c r="H69" s="24">
        <f>IF(10&lt;=$B$7,C69*G69,0)</f>
        <v>4138.3707302567746</v>
      </c>
      <c r="I69" s="24">
        <f>IF(10&lt;=$B$7,H69+I68,0)</f>
        <v>17500</v>
      </c>
      <c r="J69" s="25">
        <f>IF(10&lt;=$B$7,G69+J68,0)</f>
        <v>254.81113982705659</v>
      </c>
      <c r="K69" s="24">
        <f>IF(10&lt;=$B$7,IF(J69&gt;0,I69/J69,0),0)</f>
        <v>68.678316073141318</v>
      </c>
      <c r="L69" t="str">
        <f t="shared" si="1"/>
        <v>Yes</v>
      </c>
    </row>
    <row r="70" spans="1:12" hidden="1" x14ac:dyDescent="0.35">
      <c r="A70" s="23">
        <v>11</v>
      </c>
      <c r="B70" s="15">
        <f>IF(11&lt;=$B$7,Helpers!$B$10+Helpers!$B$7*(11-1),0)</f>
        <v>0</v>
      </c>
      <c r="C70" s="24">
        <f>IF(11&lt;=$B$7,MAX(B70*Helpers!$B$19,Helpers!$B$20+Helpers!$B$7*(11-1)),0)</f>
        <v>0</v>
      </c>
      <c r="D70" s="14">
        <f>IF(11&lt;=$B$7,EXP(2*(11-1)/(IF($B$7&gt;1,$B$7-1,1))),0)</f>
        <v>0</v>
      </c>
      <c r="E70" s="14">
        <f>IF(11&lt;=$B$7,IF(SUM(D60:D79)&gt;0,D70/SUM(D60:D79),0),0)</f>
        <v>0</v>
      </c>
      <c r="F70" s="14">
        <f>IF(11&lt;=$B$7,Helpers!$B$13*E70,0)</f>
        <v>0</v>
      </c>
      <c r="G70" s="25">
        <f>IF(11&lt;=$B$7,IF(AND(ISNUMBER(F70),SUM(F60:F79)&gt;0,Helpers!$B$13&gt;0),F70*(Helpers!$B$13/SUM(F60:F79)),0),0)</f>
        <v>0</v>
      </c>
      <c r="H70" s="24">
        <f>IF(11&lt;=$B$7,C70*G70,0)</f>
        <v>0</v>
      </c>
      <c r="I70" s="24">
        <f>IF(11&lt;=$B$7,H70+I69,0)</f>
        <v>0</v>
      </c>
      <c r="J70" s="25">
        <f>IF(11&lt;=$B$7,G70+J69,0)</f>
        <v>0</v>
      </c>
      <c r="K70" s="24">
        <f>IF(11&lt;=$B$7,IF(J70&gt;0,I70/J70,0),0)</f>
        <v>0</v>
      </c>
      <c r="L70" t="str">
        <f t="shared" si="1"/>
        <v>No</v>
      </c>
    </row>
    <row r="71" spans="1:12" hidden="1" x14ac:dyDescent="0.35">
      <c r="A71" s="23">
        <v>12</v>
      </c>
      <c r="B71" s="15">
        <f>IF(12&lt;=$B$7,Helpers!$B$10+Helpers!$B$7*(12-1),0)</f>
        <v>0</v>
      </c>
      <c r="C71" s="24">
        <f>IF(12&lt;=$B$7,MAX(B71*Helpers!$B$19,Helpers!$B$20+Helpers!$B$7*(12-1)),0)</f>
        <v>0</v>
      </c>
      <c r="D71" s="14">
        <f>IF(12&lt;=$B$7,EXP(2*(12-1)/(IF($B$7&gt;1,$B$7-1,1))),0)</f>
        <v>0</v>
      </c>
      <c r="E71" s="14">
        <f>IF(12&lt;=$B$7,IF(SUM(D60:D79)&gt;0,D71/SUM(D60:D79),0),0)</f>
        <v>0</v>
      </c>
      <c r="F71" s="14">
        <f>IF(12&lt;=$B$7,Helpers!$B$13*E71,0)</f>
        <v>0</v>
      </c>
      <c r="G71" s="25">
        <f>IF(12&lt;=$B$7,IF(AND(ISNUMBER(F71),SUM(F60:F79)&gt;0,Helpers!$B$13&gt;0),F71*(Helpers!$B$13/SUM(F60:F79)),0),0)</f>
        <v>0</v>
      </c>
      <c r="H71" s="24">
        <f>IF(12&lt;=$B$7,C71*G71,0)</f>
        <v>0</v>
      </c>
      <c r="I71" s="24">
        <f>IF(12&lt;=$B$7,H71+I70,0)</f>
        <v>0</v>
      </c>
      <c r="J71" s="25">
        <f>IF(12&lt;=$B$7,G71+J70,0)</f>
        <v>0</v>
      </c>
      <c r="K71" s="24">
        <f>IF(12&lt;=$B$7,IF(J71&gt;0,I71/J71,0),0)</f>
        <v>0</v>
      </c>
      <c r="L71" t="str">
        <f t="shared" si="1"/>
        <v>No</v>
      </c>
    </row>
    <row r="72" spans="1:12" hidden="1" x14ac:dyDescent="0.35">
      <c r="A72" s="23">
        <v>13</v>
      </c>
      <c r="B72" s="15">
        <f>IF(13&lt;=$B$7,Helpers!$B$10+Helpers!$B$7*(13-1),0)</f>
        <v>0</v>
      </c>
      <c r="C72" s="24">
        <f>IF(13&lt;=$B$7,MAX(B72*Helpers!$B$19,Helpers!$B$20+Helpers!$B$7*(13-1)),0)</f>
        <v>0</v>
      </c>
      <c r="D72" s="14">
        <f>IF(13&lt;=$B$7,EXP(2*(13-1)/(IF($B$7&gt;1,$B$7-1,1))),0)</f>
        <v>0</v>
      </c>
      <c r="E72" s="14">
        <f>IF(13&lt;=$B$7,IF(SUM(D60:D79)&gt;0,D72/SUM(D60:D79),0),0)</f>
        <v>0</v>
      </c>
      <c r="F72" s="14">
        <f>IF(13&lt;=$B$7,Helpers!$B$13*E72,0)</f>
        <v>0</v>
      </c>
      <c r="G72" s="25">
        <f>IF(13&lt;=$B$7,IF(AND(ISNUMBER(F72),SUM(F60:F79)&gt;0,Helpers!$B$13&gt;0),F72*(Helpers!$B$13/SUM(F60:F79)),0),0)</f>
        <v>0</v>
      </c>
      <c r="H72" s="24">
        <f>IF(13&lt;=$B$7,C72*G72,0)</f>
        <v>0</v>
      </c>
      <c r="I72" s="24">
        <f>IF(13&lt;=$B$7,H72+I71,0)</f>
        <v>0</v>
      </c>
      <c r="J72" s="25">
        <f>IF(13&lt;=$B$7,G72+J71,0)</f>
        <v>0</v>
      </c>
      <c r="K72" s="24">
        <f>IF(13&lt;=$B$7,IF(J72&gt;0,I72/J72,0),0)</f>
        <v>0</v>
      </c>
      <c r="L72" t="str">
        <f t="shared" si="1"/>
        <v>No</v>
      </c>
    </row>
    <row r="73" spans="1:12" hidden="1" x14ac:dyDescent="0.35">
      <c r="A73" s="23">
        <v>14</v>
      </c>
      <c r="B73" s="15">
        <f>IF(14&lt;=$B$7,Helpers!$B$10+Helpers!$B$7*(14-1),0)</f>
        <v>0</v>
      </c>
      <c r="C73" s="24">
        <f>IF(14&lt;=$B$7,MAX(B73*Helpers!$B$19,Helpers!$B$20+Helpers!$B$7*(14-1)),0)</f>
        <v>0</v>
      </c>
      <c r="D73" s="14">
        <f>IF(14&lt;=$B$7,EXP(2*(14-1)/(IF($B$7&gt;1,$B$7-1,1))),0)</f>
        <v>0</v>
      </c>
      <c r="E73" s="14">
        <f>IF(14&lt;=$B$7,IF(SUM(D60:D79)&gt;0,D73/SUM(D60:D79),0),0)</f>
        <v>0</v>
      </c>
      <c r="F73" s="14">
        <f>IF(14&lt;=$B$7,Helpers!$B$13*E73,0)</f>
        <v>0</v>
      </c>
      <c r="G73" s="25">
        <f>IF(14&lt;=$B$7,IF(AND(ISNUMBER(F73),SUM(F60:F79)&gt;0,Helpers!$B$13&gt;0),F73*(Helpers!$B$13/SUM(F60:F79)),0),0)</f>
        <v>0</v>
      </c>
      <c r="H73" s="24">
        <f>IF(14&lt;=$B$7,C73*G73,0)</f>
        <v>0</v>
      </c>
      <c r="I73" s="24">
        <f>IF(14&lt;=$B$7,H73+I72,0)</f>
        <v>0</v>
      </c>
      <c r="J73" s="25">
        <f>IF(14&lt;=$B$7,G73+J72,0)</f>
        <v>0</v>
      </c>
      <c r="K73" s="24">
        <f>IF(14&lt;=$B$7,IF(J73&gt;0,I73/J73,0),0)</f>
        <v>0</v>
      </c>
      <c r="L73" t="str">
        <f t="shared" si="1"/>
        <v>No</v>
      </c>
    </row>
    <row r="74" spans="1:12" hidden="1" x14ac:dyDescent="0.35">
      <c r="A74" s="23">
        <v>15</v>
      </c>
      <c r="B74" s="15">
        <f>IF(15&lt;=$B$7,Helpers!$B$10+Helpers!$B$7*(15-1),0)</f>
        <v>0</v>
      </c>
      <c r="C74" s="24">
        <f>IF(15&lt;=$B$7,MAX(B74*Helpers!$B$19,Helpers!$B$20+Helpers!$B$7*(15-1)),0)</f>
        <v>0</v>
      </c>
      <c r="D74" s="14">
        <f>IF(15&lt;=$B$7,EXP(2*(15-1)/(IF($B$7&gt;1,$B$7-1,1))),0)</f>
        <v>0</v>
      </c>
      <c r="E74" s="14">
        <f>IF(15&lt;=$B$7,IF(SUM(D60:D79)&gt;0,D74/SUM(D60:D79),0),0)</f>
        <v>0</v>
      </c>
      <c r="F74" s="14">
        <f>IF(15&lt;=$B$7,Helpers!$B$13*E74,0)</f>
        <v>0</v>
      </c>
      <c r="G74" s="25">
        <f>IF(15&lt;=$B$7,IF(AND(ISNUMBER(F74),SUM(F60:F79)&gt;0,Helpers!$B$13&gt;0),F74*(Helpers!$B$13/SUM(F60:F79)),0),0)</f>
        <v>0</v>
      </c>
      <c r="H74" s="24">
        <f>IF(15&lt;=$B$7,C74*G74,0)</f>
        <v>0</v>
      </c>
      <c r="I74" s="24">
        <f>IF(15&lt;=$B$7,H74+I73,0)</f>
        <v>0</v>
      </c>
      <c r="J74" s="25">
        <f>IF(15&lt;=$B$7,G74+J73,0)</f>
        <v>0</v>
      </c>
      <c r="K74" s="24">
        <f>IF(15&lt;=$B$7,IF(J74&gt;0,I74/J74,0),0)</f>
        <v>0</v>
      </c>
      <c r="L74" t="str">
        <f t="shared" si="1"/>
        <v>No</v>
      </c>
    </row>
    <row r="75" spans="1:12" hidden="1" x14ac:dyDescent="0.35">
      <c r="A75" s="23">
        <v>16</v>
      </c>
      <c r="B75" s="15">
        <f>IF(16&lt;=$B$7,Helpers!$B$10+Helpers!$B$7*(16-1),0)</f>
        <v>0</v>
      </c>
      <c r="C75" s="24">
        <f>IF(16&lt;=$B$7,MAX(B75*Helpers!$B$19,Helpers!$B$20+Helpers!$B$7*(16-1)),0)</f>
        <v>0</v>
      </c>
      <c r="D75" s="14">
        <f>IF(16&lt;=$B$7,EXP(2*(16-1)/(IF($B$7&gt;1,$B$7-1,1))),0)</f>
        <v>0</v>
      </c>
      <c r="E75" s="14">
        <f>IF(16&lt;=$B$7,IF(SUM(D60:D79)&gt;0,D75/SUM(D60:D79),0),0)</f>
        <v>0</v>
      </c>
      <c r="F75" s="14">
        <f>IF(16&lt;=$B$7,Helpers!$B$13*E75,0)</f>
        <v>0</v>
      </c>
      <c r="G75" s="25">
        <f>IF(16&lt;=$B$7,IF(AND(ISNUMBER(F75),SUM(F60:F79)&gt;0,Helpers!$B$13&gt;0),F75*(Helpers!$B$13/SUM(F60:F79)),0),0)</f>
        <v>0</v>
      </c>
      <c r="H75" s="24">
        <f>IF(16&lt;=$B$7,C75*G75,0)</f>
        <v>0</v>
      </c>
      <c r="I75" s="24">
        <f>IF(16&lt;=$B$7,H75+I74,0)</f>
        <v>0</v>
      </c>
      <c r="J75" s="25">
        <f>IF(16&lt;=$B$7,G75+J74,0)</f>
        <v>0</v>
      </c>
      <c r="K75" s="24">
        <f>IF(16&lt;=$B$7,IF(J75&gt;0,I75/J75,0),0)</f>
        <v>0</v>
      </c>
      <c r="L75" t="str">
        <f t="shared" si="1"/>
        <v>No</v>
      </c>
    </row>
    <row r="76" spans="1:12" hidden="1" x14ac:dyDescent="0.35">
      <c r="A76" s="23">
        <v>17</v>
      </c>
      <c r="B76" s="15">
        <f>IF(17&lt;=$B$7,Helpers!$B$10+Helpers!$B$7*(17-1),0)</f>
        <v>0</v>
      </c>
      <c r="C76" s="24">
        <f>IF(17&lt;=$B$7,MAX(B76*Helpers!$B$19,Helpers!$B$20+Helpers!$B$7*(17-1)),0)</f>
        <v>0</v>
      </c>
      <c r="D76" s="14">
        <f>IF(17&lt;=$B$7,EXP(2*(17-1)/(IF($B$7&gt;1,$B$7-1,1))),0)</f>
        <v>0</v>
      </c>
      <c r="E76" s="14">
        <f>IF(17&lt;=$B$7,IF(SUM(D60:D79)&gt;0,D76/SUM(D60:D79),0),0)</f>
        <v>0</v>
      </c>
      <c r="F76" s="14">
        <f>IF(17&lt;=$B$7,Helpers!$B$13*E76,0)</f>
        <v>0</v>
      </c>
      <c r="G76" s="25">
        <f>IF(17&lt;=$B$7,IF(AND(ISNUMBER(F76),SUM(F60:F79)&gt;0,Helpers!$B$13&gt;0),F76*(Helpers!$B$13/SUM(F60:F79)),0),0)</f>
        <v>0</v>
      </c>
      <c r="H76" s="24">
        <f>IF(17&lt;=$B$7,C76*G76,0)</f>
        <v>0</v>
      </c>
      <c r="I76" s="24">
        <f>IF(17&lt;=$B$7,H76+I75,0)</f>
        <v>0</v>
      </c>
      <c r="J76" s="25">
        <f>IF(17&lt;=$B$7,G76+J75,0)</f>
        <v>0</v>
      </c>
      <c r="K76" s="24">
        <f>IF(17&lt;=$B$7,IF(J76&gt;0,I76/J76,0),0)</f>
        <v>0</v>
      </c>
      <c r="L76" t="str">
        <f t="shared" si="1"/>
        <v>No</v>
      </c>
    </row>
    <row r="77" spans="1:12" hidden="1" x14ac:dyDescent="0.35">
      <c r="A77" s="23">
        <v>18</v>
      </c>
      <c r="B77" s="15">
        <f>IF(18&lt;=$B$7,Helpers!$B$10+Helpers!$B$7*(18-1),0)</f>
        <v>0</v>
      </c>
      <c r="C77" s="24">
        <f>IF(18&lt;=$B$7,MAX(B77*Helpers!$B$19,Helpers!$B$20+Helpers!$B$7*(18-1)),0)</f>
        <v>0</v>
      </c>
      <c r="D77" s="14">
        <f>IF(18&lt;=$B$7,EXP(2*(18-1)/(IF($B$7&gt;1,$B$7-1,1))),0)</f>
        <v>0</v>
      </c>
      <c r="E77" s="14">
        <f>IF(18&lt;=$B$7,IF(SUM(D60:D79)&gt;0,D77/SUM(D60:D79),0),0)</f>
        <v>0</v>
      </c>
      <c r="F77" s="14">
        <f>IF(18&lt;=$B$7,Helpers!$B$13*E77,0)</f>
        <v>0</v>
      </c>
      <c r="G77" s="25">
        <f>IF(18&lt;=$B$7,IF(AND(ISNUMBER(F77),SUM(F60:F79)&gt;0,Helpers!$B$13&gt;0),F77*(Helpers!$B$13/SUM(F60:F79)),0),0)</f>
        <v>0</v>
      </c>
      <c r="H77" s="24">
        <f>IF(18&lt;=$B$7,C77*G77,0)</f>
        <v>0</v>
      </c>
      <c r="I77" s="24">
        <f>IF(18&lt;=$B$7,H77+I76,0)</f>
        <v>0</v>
      </c>
      <c r="J77" s="25">
        <f>IF(18&lt;=$B$7,G77+J76,0)</f>
        <v>0</v>
      </c>
      <c r="K77" s="24">
        <f>IF(18&lt;=$B$7,IF(J77&gt;0,I77/J77,0),0)</f>
        <v>0</v>
      </c>
      <c r="L77" t="str">
        <f t="shared" si="1"/>
        <v>No</v>
      </c>
    </row>
    <row r="78" spans="1:12" hidden="1" x14ac:dyDescent="0.35">
      <c r="A78" s="23">
        <v>19</v>
      </c>
      <c r="B78" s="15">
        <f>IF(19&lt;=$B$7,Helpers!$B$10+Helpers!$B$7*(19-1),0)</f>
        <v>0</v>
      </c>
      <c r="C78" s="24">
        <f>IF(19&lt;=$B$7,MAX(B78*Helpers!$B$19,Helpers!$B$20+Helpers!$B$7*(19-1)),0)</f>
        <v>0</v>
      </c>
      <c r="D78" s="14">
        <f>IF(19&lt;=$B$7,EXP(2*(19-1)/(IF($B$7&gt;1,$B$7-1,1))),0)</f>
        <v>0</v>
      </c>
      <c r="E78" s="14">
        <f>IF(19&lt;=$B$7,IF(SUM(D60:D79)&gt;0,D78/SUM(D60:D79),0),0)</f>
        <v>0</v>
      </c>
      <c r="F78" s="14">
        <f>IF(19&lt;=$B$7,Helpers!$B$13*E78,0)</f>
        <v>0</v>
      </c>
      <c r="G78" s="25">
        <f>IF(19&lt;=$B$7,IF(AND(ISNUMBER(F78),SUM(F60:F79)&gt;0,Helpers!$B$13&gt;0),F78*(Helpers!$B$13/SUM(F60:F79)),0),0)</f>
        <v>0</v>
      </c>
      <c r="H78" s="24">
        <f>IF(19&lt;=$B$7,C78*G78,0)</f>
        <v>0</v>
      </c>
      <c r="I78" s="24">
        <f>IF(19&lt;=$B$7,H78+I77,0)</f>
        <v>0</v>
      </c>
      <c r="J78" s="25">
        <f>IF(19&lt;=$B$7,G78+J77,0)</f>
        <v>0</v>
      </c>
      <c r="K78" s="24">
        <f>IF(19&lt;=$B$7,IF(J78&gt;0,I78/J78,0),0)</f>
        <v>0</v>
      </c>
      <c r="L78" t="str">
        <f t="shared" si="1"/>
        <v>No</v>
      </c>
    </row>
    <row r="79" spans="1:12" hidden="1" x14ac:dyDescent="0.35">
      <c r="A79" s="23">
        <v>20</v>
      </c>
      <c r="B79" s="15">
        <f>IF(20&lt;=$B$7,Helpers!$B$10+Helpers!$B$7*(20-1),0)</f>
        <v>0</v>
      </c>
      <c r="C79" s="24">
        <f>IF(20&lt;=$B$7,MAX(B79*Helpers!$B$19,Helpers!$B$20+Helpers!$B$7*(20-1)),0)</f>
        <v>0</v>
      </c>
      <c r="D79" s="14">
        <f>IF(20&lt;=$B$7,EXP(2*(20-1)/(IF($B$7&gt;1,$B$7-1,1))),0)</f>
        <v>0</v>
      </c>
      <c r="E79" s="14">
        <f>IF(20&lt;=$B$7,IF(SUM(D60:D79)&gt;0,D79/SUM(D60:D79),0),0)</f>
        <v>0</v>
      </c>
      <c r="F79" s="14">
        <f>IF(20&lt;=$B$7,Helpers!$B$13*E79,0)</f>
        <v>0</v>
      </c>
      <c r="G79" s="25">
        <f>IF(20&lt;=$B$7,IF(AND(ISNUMBER(F79),SUM(F60:F79)&gt;0,Helpers!$B$13&gt;0),F79*(Helpers!$B$13/SUM(F60:F79)),0),0)</f>
        <v>0</v>
      </c>
      <c r="H79" s="24">
        <f>IF(20&lt;=$B$7,C79*G79,0)</f>
        <v>0</v>
      </c>
      <c r="I79" s="24">
        <f>IF(20&lt;=$B$7,H79+I78,0)</f>
        <v>0</v>
      </c>
      <c r="J79" s="25">
        <f>IF(20&lt;=$B$7,G79+J78,0)</f>
        <v>0</v>
      </c>
      <c r="K79" s="24">
        <f>IF(20&lt;=$B$7,IF(J79&gt;0,I79/J79,0),0)</f>
        <v>0</v>
      </c>
      <c r="L79" t="str">
        <f t="shared" si="1"/>
        <v>No</v>
      </c>
    </row>
    <row r="85" spans="1:4" ht="17" x14ac:dyDescent="0.4">
      <c r="A85" s="36" t="s">
        <v>24</v>
      </c>
      <c r="B85" s="33"/>
      <c r="C85" s="33"/>
      <c r="D85" s="33"/>
    </row>
    <row r="86" spans="1:4" x14ac:dyDescent="0.35">
      <c r="A86" s="35" t="s">
        <v>25</v>
      </c>
      <c r="B86" s="33"/>
      <c r="C86" s="33"/>
      <c r="D86" s="33"/>
    </row>
    <row r="87" spans="1:4" x14ac:dyDescent="0.35">
      <c r="A87" s="35" t="s">
        <v>26</v>
      </c>
      <c r="B87" s="33"/>
      <c r="C87" s="33"/>
      <c r="D87" s="33"/>
    </row>
    <row r="88" spans="1:4" x14ac:dyDescent="0.35">
      <c r="A88" s="35" t="s">
        <v>27</v>
      </c>
      <c r="B88" s="33"/>
      <c r="C88" s="33"/>
      <c r="D88" s="33"/>
    </row>
    <row r="89" spans="1:4" x14ac:dyDescent="0.35">
      <c r="A89" s="35" t="s">
        <v>28</v>
      </c>
      <c r="B89" s="33"/>
      <c r="C89" s="33"/>
      <c r="D89" s="33"/>
    </row>
    <row r="90" spans="1:4" x14ac:dyDescent="0.35">
      <c r="A90" s="35" t="s">
        <v>29</v>
      </c>
      <c r="B90" s="33"/>
      <c r="C90" s="33"/>
      <c r="D90" s="33"/>
    </row>
    <row r="91" spans="1:4" x14ac:dyDescent="0.35">
      <c r="A91" s="35" t="s">
        <v>30</v>
      </c>
      <c r="B91" s="33"/>
      <c r="C91" s="33"/>
      <c r="D91" s="33"/>
    </row>
    <row r="92" spans="1:4" x14ac:dyDescent="0.35">
      <c r="A92" s="35" t="s">
        <v>31</v>
      </c>
      <c r="B92" s="33"/>
      <c r="C92" s="33"/>
      <c r="D92" s="33"/>
    </row>
  </sheetData>
  <autoFilter ref="A59:L79" xr:uid="{00000000-0009-0000-0000-000000000000}">
    <filterColumn colId="10">
      <filters>
        <filter val="Yes"/>
      </filters>
    </filterColumn>
    <filterColumn colId="11">
      <filters>
        <filter val="Yes"/>
      </filters>
    </filterColumn>
  </autoFilter>
  <mergeCells count="16">
    <mergeCell ref="A92:D92"/>
    <mergeCell ref="A10:D10"/>
    <mergeCell ref="A90:D90"/>
    <mergeCell ref="A59:L59"/>
    <mergeCell ref="A91:D91"/>
    <mergeCell ref="A20:D20"/>
    <mergeCell ref="A21:D21"/>
    <mergeCell ref="A3:D3"/>
    <mergeCell ref="A86:D86"/>
    <mergeCell ref="A85:D85"/>
    <mergeCell ref="A87:D87"/>
    <mergeCell ref="A1:D1"/>
    <mergeCell ref="A34:K34"/>
    <mergeCell ref="A89:D89"/>
    <mergeCell ref="A22:D22"/>
    <mergeCell ref="A88:D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5" x14ac:dyDescent="0.35"/>
  <cols>
    <col min="1" max="1" width="20" customWidth="1"/>
    <col min="2" max="2" width="30" customWidth="1"/>
  </cols>
  <sheetData>
    <row r="1" spans="1:2" ht="25" customHeight="1" x14ac:dyDescent="0.45">
      <c r="A1" s="42" t="s">
        <v>32</v>
      </c>
      <c r="B1" s="33"/>
    </row>
    <row r="2" spans="1:2" ht="20" customHeight="1" x14ac:dyDescent="0.35">
      <c r="A2" s="41" t="s">
        <v>33</v>
      </c>
      <c r="B2" s="33"/>
    </row>
    <row r="4" spans="1:2" x14ac:dyDescent="0.35">
      <c r="A4" s="40" t="s">
        <v>34</v>
      </c>
      <c r="B4" s="33"/>
    </row>
    <row r="5" spans="1:2" x14ac:dyDescent="0.35">
      <c r="A5" s="26" t="s">
        <v>35</v>
      </c>
      <c r="B5" s="27">
        <f>Calculator!$B$5</f>
        <v>50</v>
      </c>
    </row>
    <row r="6" spans="1:2" x14ac:dyDescent="0.35">
      <c r="A6" s="26" t="s">
        <v>36</v>
      </c>
      <c r="B6" s="27">
        <f>IF(Calculator!$B$5&gt;0,Calculator!$B$5*(1-Calculator!$B$8/100),0)</f>
        <v>35</v>
      </c>
    </row>
    <row r="7" spans="1:2" x14ac:dyDescent="0.35">
      <c r="A7" s="26" t="s">
        <v>37</v>
      </c>
      <c r="B7" s="27">
        <f>IF(AND(Calculator!$B$7&gt;1,B5&gt;0,B6&gt;0),(B5-B6)/(Calculator!$B$7-1),IF(Calculator!$B$5&gt;0,Calculator!$B$5*0.1,0))</f>
        <v>1.6666666666666667</v>
      </c>
    </row>
    <row r="8" spans="1:2" x14ac:dyDescent="0.35">
      <c r="A8" s="26" t="s">
        <v>38</v>
      </c>
      <c r="B8" s="27">
        <f>Calculator!$B$5</f>
        <v>50</v>
      </c>
    </row>
    <row r="9" spans="1:2" x14ac:dyDescent="0.35">
      <c r="A9" s="26" t="s">
        <v>39</v>
      </c>
      <c r="B9" s="27">
        <f>IF(AND(B8&gt;0,B7&gt;0),MAX(1,CEILING(B8*Calculator!$B$6/100*0.5/B7,1))*B7,0)</f>
        <v>20</v>
      </c>
    </row>
    <row r="10" spans="1:2" x14ac:dyDescent="0.35">
      <c r="A10" s="26" t="s">
        <v>40</v>
      </c>
      <c r="B10" s="27">
        <f>IF(AND(B8&gt;0,B9&gt;0),B8+B9,0)</f>
        <v>70</v>
      </c>
    </row>
    <row r="12" spans="1:2" x14ac:dyDescent="0.35">
      <c r="A12" s="45" t="s">
        <v>41</v>
      </c>
      <c r="B12" s="33"/>
    </row>
    <row r="13" spans="1:2" x14ac:dyDescent="0.35">
      <c r="A13" s="26" t="s">
        <v>42</v>
      </c>
      <c r="B13" s="28">
        <f>SUM(Calculator!G35:G54)</f>
        <v>254.81113982705659</v>
      </c>
    </row>
    <row r="14" spans="1:2" x14ac:dyDescent="0.35">
      <c r="A14" s="26" t="s">
        <v>14</v>
      </c>
      <c r="B14" s="27">
        <f>SUM(Calculator!F35:F54)</f>
        <v>10000</v>
      </c>
    </row>
    <row r="15" spans="1:2" x14ac:dyDescent="0.35">
      <c r="A15" s="26" t="s">
        <v>43</v>
      </c>
      <c r="B15" s="27">
        <f>B14*(1+Calculator!$B$6/100)</f>
        <v>17500</v>
      </c>
    </row>
    <row r="17" spans="1:2" x14ac:dyDescent="0.35">
      <c r="A17" s="43" t="s">
        <v>44</v>
      </c>
      <c r="B17" s="33"/>
    </row>
    <row r="18" spans="1:2" x14ac:dyDescent="0.35">
      <c r="A18" s="26" t="s">
        <v>45</v>
      </c>
      <c r="B18" s="27">
        <f>SUMPRODUCT(Calculator!B60:B79,Calculator!G60:G79)</f>
        <v>20468.505892848705</v>
      </c>
    </row>
    <row r="19" spans="1:2" x14ac:dyDescent="0.35">
      <c r="A19" s="26" t="s">
        <v>46</v>
      </c>
      <c r="B19" s="28">
        <f>IF(AND(B18&gt;0,Helpers!$B$15&gt;0),Helpers!$B$15/B18,1)</f>
        <v>0.85497202832543617</v>
      </c>
    </row>
    <row r="20" spans="1:2" x14ac:dyDescent="0.35">
      <c r="A20" s="26" t="s">
        <v>47</v>
      </c>
      <c r="B20" s="27">
        <f>IF(AND(Helpers!$B$8&gt;0,Helpers!$B$7&gt;0),Helpers!$B$8+Helpers!$B$7,0)</f>
        <v>51.666666666666664</v>
      </c>
    </row>
    <row r="22" spans="1:2" x14ac:dyDescent="0.35">
      <c r="A22" s="44" t="s">
        <v>48</v>
      </c>
      <c r="B22" s="33"/>
    </row>
    <row r="23" spans="1:2" ht="16" customHeight="1" x14ac:dyDescent="0.35">
      <c r="A23" s="29" t="s">
        <v>49</v>
      </c>
      <c r="B23" s="30" t="str">
        <f>IF(Calculator!$B$4&gt;0,"✓ OK","✗ ERROR: Budget must be positive")</f>
        <v>✓ OK</v>
      </c>
    </row>
    <row r="24" spans="1:2" ht="16" customHeight="1" x14ac:dyDescent="0.35">
      <c r="A24" s="29" t="s">
        <v>50</v>
      </c>
      <c r="B24" s="30" t="str">
        <f>IF(Calculator!$B$5&gt;0,"✓ OK","✗ ERROR: Price must be positive")</f>
        <v>✓ OK</v>
      </c>
    </row>
    <row r="25" spans="1:2" ht="16" customHeight="1" x14ac:dyDescent="0.35">
      <c r="A25" s="29" t="s">
        <v>51</v>
      </c>
      <c r="B25" s="30" t="str">
        <f>IF(AND(Calculator!$B$6&gt;=10,Calculator!$B$6&lt;=200),"✓ OK","✗ ERROR: Profit target must be 10-200%")</f>
        <v>✓ OK</v>
      </c>
    </row>
    <row r="26" spans="1:2" ht="16" customHeight="1" x14ac:dyDescent="0.35">
      <c r="A26" s="29" t="s">
        <v>52</v>
      </c>
      <c r="B26" s="30" t="str">
        <f>IF(Calculator!$B$7&gt;=1,"✓ OK","✗ ERROR: Number of rungs must be at least 1")</f>
        <v>✓ OK</v>
      </c>
    </row>
    <row r="27" spans="1:2" ht="16" customHeight="1" x14ac:dyDescent="0.35">
      <c r="A27" s="29" t="s">
        <v>53</v>
      </c>
      <c r="B27" s="30" t="str">
        <f>IF(AND(Calculator!$B$8&gt;0,Calculator!$B$8&lt;=100),"✓ OK","✗ ERROR: Buy price range must be 0-100%")</f>
        <v>✓ OK</v>
      </c>
    </row>
    <row r="28" spans="1:2" ht="16" customHeight="1" x14ac:dyDescent="0.35">
      <c r="A28" s="29" t="s">
        <v>54</v>
      </c>
      <c r="B28" s="30" t="str">
        <f>IF(Helpers!$B$6&gt;0,"✓ OK","✗ ERROR: Buy lower price is non-positive. Reduce Buy Price Range %")</f>
        <v>✓ OK</v>
      </c>
    </row>
    <row r="29" spans="1:2" ht="16" customHeight="1" x14ac:dyDescent="0.35">
      <c r="A29" s="29" t="s">
        <v>55</v>
      </c>
      <c r="B29" s="30" t="str">
        <f>IF(AND(Calculator!$B$7&gt;0,Calculator!$B$7&lt;=20,SUM(Calculator!B35:B54)&gt;0,SUM(Calculator!C60:C79)&gt;0),IF(AND(ISNUMBER(INDEX(Calculator!C60:C79,1)),ISNUMBER(INDEX(Calculator!B35:B54,Calculator!$B$7))),IF(INDEX(Calculator!C60:C79,1)&gt;INDEX(Calculator!B35:B54,Calculator!$B$7),"✓ OK","✗ ERROR: Sell prices must exceed buy prices"),"N/A"),"N/A")</f>
        <v>✓ OK</v>
      </c>
    </row>
    <row r="30" spans="1:2" ht="16" customHeight="1" x14ac:dyDescent="0.35">
      <c r="A30" s="29" t="s">
        <v>56</v>
      </c>
      <c r="B30" s="31" t="str">
        <f>IF(ABS(Helpers!$B$13-SUM(Calculator!G60:G79))&lt;0.0001,"✓ OK","⚠ WARNING: Buy and sell quantities do not match exactly")</f>
        <v>✓ OK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6">
    <mergeCell ref="A4:B4"/>
    <mergeCell ref="A2:B2"/>
    <mergeCell ref="A1:B1"/>
    <mergeCell ref="A17:B17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Helpers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Kokavec</cp:lastModifiedBy>
  <dcterms:created xsi:type="dcterms:W3CDTF">2025-11-07T07:00:37Z</dcterms:created>
  <dcterms:modified xsi:type="dcterms:W3CDTF">2025-11-07T07:00:39Z</dcterms:modified>
</cp:coreProperties>
</file>