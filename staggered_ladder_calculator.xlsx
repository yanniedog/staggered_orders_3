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Helpers" sheetId="2" state="visible" r:id="rId2"/>
    <sheet name="Charts" sheetId="3" state="visible" r:id="rId3"/>
  </sheets>
  <definedNames>
    <definedName name="_xlnm._FilterDatabase" localSheetId="0" hidden="1">'Calculator'!$A$59:$L$79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3"/>
    </font>
    <font>
      <b val="1"/>
      <sz val="10"/>
    </font>
    <font>
      <sz val="11"/>
    </font>
    <font>
      <i val="1"/>
      <color rgb="00666666"/>
      <sz val="9"/>
    </font>
    <font>
      <b val="1"/>
      <sz val="11"/>
    </font>
    <font>
      <b val="1"/>
      <sz val="14"/>
    </font>
    <font>
      <b val="1"/>
      <i val="1"/>
      <color rgb="00FF0000"/>
      <sz val="10"/>
    </font>
    <font>
      <sz val="9"/>
    </font>
    <font>
      <b val="1"/>
      <color rgb="00FF0000"/>
      <sz val="9"/>
    </font>
    <font>
      <b val="1"/>
      <color rgb="00FF8800"/>
      <sz val="9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  <fill>
      <patternFill patternType="solid">
        <fgColor rgb="00FFFFFF"/>
        <bgColor rgb="00FFFFFF"/>
      </patternFill>
    </fill>
    <fill>
      <patternFill patternType="solid">
        <fgColor rgb="00FFF4E6"/>
        <bgColor rgb="00FFF4E6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horizontal="right" vertical="center"/>
    </xf>
    <xf numFmtId="4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3" fillId="5" borderId="0" applyAlignment="1" pivotButton="0" quotePrefix="0" xfId="0">
      <alignment horizontal="right" vertical="center"/>
    </xf>
    <xf numFmtId="4" fontId="6" fillId="4" borderId="2" applyAlignment="1" pivotButton="0" quotePrefix="0" xfId="0">
      <alignment horizontal="center" vertical="center"/>
    </xf>
    <xf numFmtId="1" fontId="6" fillId="4" borderId="2" applyAlignment="1" pivotButton="0" quotePrefix="0" xfId="0">
      <alignment horizontal="center" vertical="center"/>
    </xf>
    <xf numFmtId="4" fontId="6" fillId="6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2" fillId="11" borderId="0" pivotButton="0" quotePrefix="0" xfId="0"/>
    <xf numFmtId="0" fontId="12" fillId="11" borderId="2" applyAlignment="1" pivotButton="0" quotePrefix="0" xfId="0">
      <alignment horizontal="center" vertical="center"/>
    </xf>
    <xf numFmtId="4" fontId="12" fillId="11" borderId="2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5" fontId="12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4" fontId="0" fillId="11" borderId="2" pivotButton="0" quotePrefix="0" xfId="0"/>
    <xf numFmtId="165" fontId="0" fillId="11" borderId="2" pivotButton="0" quotePrefix="0" xfId="0"/>
    <xf numFmtId="0" fontId="2" fillId="9" borderId="0" pivotButton="0" quotePrefix="0" xfId="0"/>
    <xf numFmtId="0" fontId="12" fillId="9" borderId="2" applyAlignment="1" pivotButton="0" quotePrefix="0" xfId="0">
      <alignment horizontal="center" vertical="center"/>
    </xf>
    <xf numFmtId="4" fontId="12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4" fontId="0" fillId="9" borderId="2" pivotButton="0" quotePrefix="0" xfId="0"/>
    <xf numFmtId="165" fontId="0" fillId="9" borderId="2" pivotButton="0" quotePrefix="0" xfId="0"/>
    <xf numFmtId="0" fontId="7" fillId="8" borderId="0" pivotButton="0" quotePrefix="0" xfId="0"/>
    <xf numFmtId="0" fontId="8" fillId="9" borderId="0" pivotButton="0" quotePrefix="0" xfId="0"/>
    <xf numFmtId="0" fontId="6" fillId="10" borderId="0" pivotButton="0" quotePrefix="0" xfId="0"/>
    <xf numFmtId="0" fontId="5" fillId="0" borderId="0" applyAlignment="1" pivotButton="0" quotePrefix="0" xfId="0">
      <alignment horizontal="right" vertical="center"/>
    </xf>
    <xf numFmtId="4" fontId="0" fillId="0" borderId="2" pivotButton="0" quotePrefix="0" xfId="0"/>
    <xf numFmtId="0" fontId="6" fillId="11" borderId="0" pivotButton="0" quotePrefix="0" xfId="0"/>
    <xf numFmtId="165" fontId="0" fillId="0" borderId="2" pivotButton="0" quotePrefix="0" xfId="0"/>
    <xf numFmtId="0" fontId="6" fillId="9" borderId="0" pivotButton="0" quotePrefix="0" xfId="0"/>
    <xf numFmtId="0" fontId="6" fillId="12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Buy Ladder: Price by Order Rung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'Calculator'!B34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'Calculator'!$A$35:$A$54</f>
            </numRef>
          </cat>
          <val>
            <numRef>
              <f>'Calculator'!$B$35:$B$54</f>
            </numRef>
          </val>
        </ser>
        <ser>
          <idx val="1"/>
          <order val="1"/>
          <tx>
            <strRef>
              <f>'Calculator'!J34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'Calculator'!$A$35:$A$54</f>
            </numRef>
          </cat>
          <val>
            <numRef>
              <f>'Calculator'!$J$35:$J$54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Buy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Buy Ladder: Quantity by Order Rung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'Calculator'!G34</f>
            </strRef>
          </tx>
          <spPr>
            <a:ln>
              <a:prstDash val="solid"/>
            </a:ln>
          </spPr>
          <cat>
            <numRef>
              <f>'Calculator'!$A$35:$A$54</f>
            </numRef>
          </cat>
          <val>
            <numRef>
              <f>'Calculator'!$G$35:$G$54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Buy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Sell Ladder: Price by Order Rung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'Calculator'!C59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'Calculator'!$A$60:$A$79</f>
            </numRef>
          </cat>
          <val>
            <numRef>
              <f>'Calculator'!$C$60:$C$79</f>
            </numRef>
          </val>
        </ser>
        <ser>
          <idx val="1"/>
          <order val="1"/>
          <tx>
            <strRef>
              <f>'Calculator'!K59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'Calculator'!$A$60:$A$79</f>
            </numRef>
          </cat>
          <val>
            <numRef>
              <f>'Calculator'!$K$60:$K$79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Sell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Sell Ladder: Quantity by Order Rung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'Calculator'!G59</f>
            </strRef>
          </tx>
          <spPr>
            <a:ln>
              <a:prstDash val="solid"/>
            </a:ln>
          </spPr>
          <cat>
            <numRef>
              <f>'Calculator'!$A$60:$A$79</f>
            </numRef>
          </cat>
          <val>
            <numRef>
              <f>'Calculator'!$G$60:$G$79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Sell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Combined Buy/Sell Ladder: Average Price vs Order Price</a:t>
            </a:r>
          </a:p>
        </rich>
      </tx>
    </title>
    <plotArea>
      <scatterChart>
        <ser>
          <idx val="0"/>
          <order val="0"/>
          <tx>
            <v>Buy Orders</v>
          </tx>
          <spPr>
            <a:ln w="28575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'Calculator'!$B$35:$B$54</f>
            </numRef>
          </xVal>
          <yVal>
            <numRef>
              <f>'Calculator'!$J$35:$J$54</f>
            </numRef>
          </yVal>
        </ser>
        <ser>
          <idx val="1"/>
          <order val="1"/>
          <tx>
            <v>Sell Orders</v>
          </tx>
          <spPr>
            <a:ln w="28575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'Calculator'!$C$60:$C$79</f>
            </numRef>
          </xVal>
          <yVal>
            <numRef>
              <f>'Calculator'!$K$60:$K$79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 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Quantities: Buy vs Sell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'Calculator'!G34</f>
            </strRef>
          </tx>
          <spPr>
            <a:ln>
              <a:prstDash val="solid"/>
            </a:ln>
          </spPr>
          <cat>
            <numRef>
              <f>'Calculator'!$A$35:$A$54</f>
            </numRef>
          </cat>
          <val>
            <numRef>
              <f>'Calculator'!$G$35:$G$54</f>
            </numRef>
          </val>
        </ser>
        <ser>
          <idx val="1"/>
          <order val="1"/>
          <tx>
            <strRef>
              <f>'Calculator'!G59</f>
            </strRef>
          </tx>
          <spPr>
            <a:ln>
              <a:prstDash val="solid"/>
            </a:ln>
          </spPr>
          <cat>
            <numRef>
              <f>'Calculator'!$A$35:$A$54</f>
            </numRef>
          </cat>
          <val>
            <numRef>
              <f>'Calculator'!$G$60:$G$79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Order Rung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0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29</row>
      <rowOff>0</rowOff>
    </from>
    <ext cx="720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15</col>
      <colOff>0</colOff>
      <row>29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0.1" customWidth="1" min="4" max="4"/>
    <col width="0.1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50" customWidth="1" min="11" max="11"/>
    <col width="0.1" customWidth="1" min="12" max="12"/>
  </cols>
  <sheetData>
    <row r="1" ht="30" customHeight="1">
      <c r="A1" s="1" t="inlineStr">
        <is>
          <t>STAGGERED ORDER LADDER CALCULATOR</t>
        </is>
      </c>
    </row>
    <row r="2"/>
    <row r="3" ht="22" customHeight="1">
      <c r="A3" s="2" t="inlineStr">
        <is>
          <t>INPUT PARAMETERS</t>
        </is>
      </c>
    </row>
    <row r="4" ht="20" customHeight="1">
      <c r="A4" s="3" t="inlineStr">
        <is>
          <t>Total Budget ($)</t>
        </is>
      </c>
      <c r="B4" s="4" t="n">
        <v>10000</v>
      </c>
      <c r="C4" s="5" t="inlineStr">
        <is>
          <t>Total amount available for buy orders</t>
        </is>
      </c>
    </row>
    <row r="5" ht="20" customHeight="1">
      <c r="A5" s="3" t="inlineStr">
        <is>
          <t>Current Price ($)</t>
        </is>
      </c>
      <c r="B5" s="4" t="n">
        <v>50</v>
      </c>
      <c r="C5" s="5" t="inlineStr">
        <is>
          <t>Current market price (highest buy rung)</t>
        </is>
      </c>
    </row>
    <row r="6" ht="20" customHeight="1">
      <c r="A6" s="3" t="inlineStr">
        <is>
          <t>Profit Target (%)</t>
        </is>
      </c>
      <c r="B6" s="6" t="n">
        <v>75</v>
      </c>
      <c r="C6" s="5" t="inlineStr">
        <is>
          <t>Target profit percentage (10-200%)</t>
        </is>
      </c>
    </row>
    <row r="7" ht="20" customHeight="1">
      <c r="A7" s="3" t="inlineStr">
        <is>
          <t>Number of Rungs</t>
        </is>
      </c>
      <c r="B7" s="7" t="n">
        <v>10</v>
      </c>
      <c r="C7" s="5" t="inlineStr">
        <is>
          <t>Number of buy/sell orders to place</t>
        </is>
      </c>
    </row>
    <row r="8" ht="20" customHeight="1">
      <c r="A8" s="3" t="inlineStr">
        <is>
          <t>Buy Price Range (%)</t>
        </is>
      </c>
      <c r="B8" s="6" t="n">
        <v>30</v>
      </c>
      <c r="C8" s="5" t="inlineStr">
        <is>
          <t>Price range for buy ladder (0-100%)</t>
        </is>
      </c>
    </row>
    <row r="9"/>
    <row r="10" ht="22" customHeight="1">
      <c r="A10" s="8" t="inlineStr">
        <is>
          <t>SUMMARY RESULTS</t>
        </is>
      </c>
    </row>
    <row r="11" ht="18" customHeight="1">
      <c r="A11" s="9" t="inlineStr">
        <is>
          <t>Total Budget</t>
        </is>
      </c>
      <c r="B11" s="10">
        <f>$B$4</f>
        <v/>
      </c>
    </row>
    <row r="12" ht="18" customHeight="1">
      <c r="A12" s="9" t="inlineStr">
        <is>
          <t>Number of Rungs</t>
        </is>
      </c>
      <c r="B12" s="11">
        <f>$B$7</f>
        <v/>
      </c>
    </row>
    <row r="13" ht="18" customHeight="1">
      <c r="A13" s="9" t="inlineStr">
        <is>
          <t>Total Cost</t>
        </is>
      </c>
      <c r="B13" s="10">
        <f>SUM(F35:F54)</f>
        <v/>
      </c>
    </row>
    <row r="14" ht="18" customHeight="1">
      <c r="A14" s="9" t="inlineStr">
        <is>
          <t>Total Revenue</t>
        </is>
      </c>
      <c r="B14" s="10">
        <f>SUM(H60:H79)</f>
        <v/>
      </c>
    </row>
    <row r="15" ht="18" customHeight="1">
      <c r="A15" s="9" t="inlineStr">
        <is>
          <t>Total Profit</t>
        </is>
      </c>
      <c r="B15" s="12">
        <f>B14-B13</f>
        <v/>
      </c>
    </row>
    <row r="16" ht="18" customHeight="1">
      <c r="A16" s="9" t="inlineStr">
        <is>
          <t>Profit Percentage</t>
        </is>
      </c>
      <c r="B16" s="13">
        <f>IF(B13&gt;0,(B15/B13)*100,0)</f>
        <v/>
      </c>
    </row>
    <row r="17" ht="18" customHeight="1">
      <c r="A17" s="9" t="inlineStr">
        <is>
          <t>Total Buy Quantity</t>
        </is>
      </c>
      <c r="B17" s="14">
        <f>SUM(G35:G54)</f>
        <v/>
      </c>
    </row>
    <row r="18" ht="18" customHeight="1">
      <c r="A18" s="9" t="inlineStr">
        <is>
          <t>Total Sell Quantity</t>
        </is>
      </c>
      <c r="B18" s="14">
        <f>SUM(G60:G79)</f>
        <v/>
      </c>
    </row>
    <row r="19"/>
    <row r="20" ht="22" customHeight="1">
      <c r="A20" s="15" t="inlineStr">
        <is>
          <t>VALIDATION STATUS</t>
        </is>
      </c>
    </row>
    <row r="21" ht="22" customHeight="1">
      <c r="A21" s="15" t="inlineStr">
        <is>
          <t>VALIDATION STATUS</t>
        </is>
      </c>
    </row>
    <row r="22">
      <c r="A22" s="16" t="inlineStr">
        <is>
          <t>See 'Helpers' sheet for detailed validation checks</t>
        </is>
      </c>
    </row>
    <row r="23"/>
    <row r="24"/>
    <row r="25"/>
    <row r="26"/>
    <row r="27"/>
    <row r="28"/>
    <row r="29"/>
    <row r="30"/>
    <row r="31"/>
    <row r="32"/>
    <row r="33"/>
    <row r="34" ht="22" customHeight="1">
      <c r="A34" s="17" t="inlineStr">
        <is>
          <t>BUY ORDERS</t>
        </is>
      </c>
    </row>
    <row r="35">
      <c r="A35" s="18" t="n">
        <v>1</v>
      </c>
      <c r="B35" s="19">
        <f>IF(1&lt;=$B$7,'Helpers'!$B$6+('Helpers'!$B$5-'Helpers'!$B$6)*(1-1)/(IF($B$7&gt;1,$B$7-1,1)),0)</f>
        <v/>
      </c>
      <c r="C35" s="20">
        <f>IF(1&lt;=$B$7,EXP(2-2*(1-1)/(IF($B$7&gt;1,$B$7-1,1))),0)</f>
        <v/>
      </c>
      <c r="D35" s="20">
        <f>IF(1&lt;=$B$7,IF(SUM(C35:C54)&gt;0,C35/SUM(C35:C54),0),0)</f>
        <v/>
      </c>
      <c r="E35" s="21">
        <f>IF(1&lt;=$B$7,IF(ISNUMBER(D35),$B$4*D35,0),0)</f>
        <v/>
      </c>
      <c r="F35" s="19">
        <f>IF(1&lt;=$B$7,IF(AND(ISNUMBER(E35),SUM(E35:E54)&gt;0),E35*($B$4/SUM(E35:E54)),0),0)</f>
        <v/>
      </c>
      <c r="G35" s="22">
        <f>IF(1&lt;=$B$7,IF(B35&gt;0,F35/B35,0),0)</f>
        <v/>
      </c>
      <c r="H35" s="19">
        <f>F35</f>
        <v/>
      </c>
      <c r="I35" s="22">
        <f>G35</f>
        <v/>
      </c>
      <c r="J35" s="19">
        <f>IF(1&lt;=$B$7,IF(I35&gt;0,H35/I35,0),0)</f>
        <v/>
      </c>
      <c r="K35">
        <f>IF(AND(A35&lt;=$B$7,B35&gt;0,G35&gt;0,ISNUMBER(B35),ISNUMBER(G35)),"Yes","No")</f>
        <v/>
      </c>
    </row>
    <row r="36">
      <c r="A36" s="23" t="n">
        <v>2</v>
      </c>
      <c r="B36" s="24">
        <f>IF(2&lt;=$B$7,'Helpers'!$B$6+('Helpers'!$B$5-'Helpers'!$B$6)*(2-1)/(IF($B$7&gt;1,$B$7-1,1)),0)</f>
        <v/>
      </c>
      <c r="C36" s="20">
        <f>IF(2&lt;=$B$7,EXP(2-2*(2-1)/(IF($B$7&gt;1,$B$7-1,1))),0)</f>
        <v/>
      </c>
      <c r="D36" s="20">
        <f>IF(2&lt;=$B$7,IF(SUM(C35:C54)&gt;0,C36/SUM(C35:C54),0),0)</f>
        <v/>
      </c>
      <c r="E36" s="21">
        <f>IF(2&lt;=$B$7,IF(ISNUMBER(D36),$B$4*D36,0),0)</f>
        <v/>
      </c>
      <c r="F36" s="24">
        <f>IF(2&lt;=$B$7,IF(AND(ISNUMBER(E36),SUM(E35:E54)&gt;0),E36*($B$4/SUM(E35:E54)),0),0)</f>
        <v/>
      </c>
      <c r="G36" s="25">
        <f>IF(2&lt;=$B$7,IF(B36&gt;0,F36/B36,0),0)</f>
        <v/>
      </c>
      <c r="H36" s="24">
        <f>IF(2&lt;=$B$7,F36+H35,0)</f>
        <v/>
      </c>
      <c r="I36" s="25">
        <f>IF(2&lt;=$B$7,G36+I35,0)</f>
        <v/>
      </c>
      <c r="J36" s="24">
        <f>IF(2&lt;=$B$7,IF(I36&gt;0,H36/I36,0),0)</f>
        <v/>
      </c>
      <c r="K36">
        <f>IF(AND(A36&lt;=$B$7,B36&gt;0,G36&gt;0,ISNUMBER(B36),ISNUMBER(G36)),"Yes","No")</f>
        <v/>
      </c>
    </row>
    <row r="37">
      <c r="A37" s="23" t="n">
        <v>3</v>
      </c>
      <c r="B37" s="24">
        <f>IF(3&lt;=$B$7,'Helpers'!$B$6+('Helpers'!$B$5-'Helpers'!$B$6)*(3-1)/(IF($B$7&gt;1,$B$7-1,1)),0)</f>
        <v/>
      </c>
      <c r="C37" s="20">
        <f>IF(3&lt;=$B$7,EXP(2-2*(3-1)/(IF($B$7&gt;1,$B$7-1,1))),0)</f>
        <v/>
      </c>
      <c r="D37" s="20">
        <f>IF(3&lt;=$B$7,IF(SUM(C35:C54)&gt;0,C37/SUM(C35:C54),0),0)</f>
        <v/>
      </c>
      <c r="E37" s="21">
        <f>IF(3&lt;=$B$7,IF(ISNUMBER(D37),$B$4*D37,0),0)</f>
        <v/>
      </c>
      <c r="F37" s="24">
        <f>IF(3&lt;=$B$7,IF(AND(ISNUMBER(E37),SUM(E35:E54)&gt;0),E37*($B$4/SUM(E35:E54)),0),0)</f>
        <v/>
      </c>
      <c r="G37" s="25">
        <f>IF(3&lt;=$B$7,IF(B37&gt;0,F37/B37,0),0)</f>
        <v/>
      </c>
      <c r="H37" s="24">
        <f>IF(3&lt;=$B$7,F37+H36,0)</f>
        <v/>
      </c>
      <c r="I37" s="25">
        <f>IF(3&lt;=$B$7,G37+I36,0)</f>
        <v/>
      </c>
      <c r="J37" s="24">
        <f>IF(3&lt;=$B$7,IF(I37&gt;0,H37/I37,0),0)</f>
        <v/>
      </c>
      <c r="K37">
        <f>IF(AND(A37&lt;=$B$7,B37&gt;0,G37&gt;0,ISNUMBER(B37),ISNUMBER(G37)),"Yes","No")</f>
        <v/>
      </c>
    </row>
    <row r="38">
      <c r="A38" s="23" t="n">
        <v>4</v>
      </c>
      <c r="B38" s="24">
        <f>IF(4&lt;=$B$7,'Helpers'!$B$6+('Helpers'!$B$5-'Helpers'!$B$6)*(4-1)/(IF($B$7&gt;1,$B$7-1,1)),0)</f>
        <v/>
      </c>
      <c r="C38" s="20">
        <f>IF(4&lt;=$B$7,EXP(2-2*(4-1)/(IF($B$7&gt;1,$B$7-1,1))),0)</f>
        <v/>
      </c>
      <c r="D38" s="20">
        <f>IF(4&lt;=$B$7,IF(SUM(C35:C54)&gt;0,C38/SUM(C35:C54),0),0)</f>
        <v/>
      </c>
      <c r="E38" s="21">
        <f>IF(4&lt;=$B$7,IF(ISNUMBER(D38),$B$4*D38,0),0)</f>
        <v/>
      </c>
      <c r="F38" s="24">
        <f>IF(4&lt;=$B$7,IF(AND(ISNUMBER(E38),SUM(E35:E54)&gt;0),E38*($B$4/SUM(E35:E54)),0),0)</f>
        <v/>
      </c>
      <c r="G38" s="25">
        <f>IF(4&lt;=$B$7,IF(B38&gt;0,F38/B38,0),0)</f>
        <v/>
      </c>
      <c r="H38" s="24">
        <f>IF(4&lt;=$B$7,F38+H37,0)</f>
        <v/>
      </c>
      <c r="I38" s="25">
        <f>IF(4&lt;=$B$7,G38+I37,0)</f>
        <v/>
      </c>
      <c r="J38" s="24">
        <f>IF(4&lt;=$B$7,IF(I38&gt;0,H38/I38,0),0)</f>
        <v/>
      </c>
      <c r="K38">
        <f>IF(AND(A38&lt;=$B$7,B38&gt;0,G38&gt;0,ISNUMBER(B38),ISNUMBER(G38)),"Yes","No")</f>
        <v/>
      </c>
    </row>
    <row r="39">
      <c r="A39" s="23" t="n">
        <v>5</v>
      </c>
      <c r="B39" s="24">
        <f>IF(5&lt;=$B$7,'Helpers'!$B$6+('Helpers'!$B$5-'Helpers'!$B$6)*(5-1)/(IF($B$7&gt;1,$B$7-1,1)),0)</f>
        <v/>
      </c>
      <c r="C39" s="20">
        <f>IF(5&lt;=$B$7,EXP(2-2*(5-1)/(IF($B$7&gt;1,$B$7-1,1))),0)</f>
        <v/>
      </c>
      <c r="D39" s="20">
        <f>IF(5&lt;=$B$7,IF(SUM(C35:C54)&gt;0,C39/SUM(C35:C54),0),0)</f>
        <v/>
      </c>
      <c r="E39" s="21">
        <f>IF(5&lt;=$B$7,IF(ISNUMBER(D39),$B$4*D39,0),0)</f>
        <v/>
      </c>
      <c r="F39" s="24">
        <f>IF(5&lt;=$B$7,IF(AND(ISNUMBER(E39),SUM(E35:E54)&gt;0),E39*($B$4/SUM(E35:E54)),0),0)</f>
        <v/>
      </c>
      <c r="G39" s="25">
        <f>IF(5&lt;=$B$7,IF(B39&gt;0,F39/B39,0),0)</f>
        <v/>
      </c>
      <c r="H39" s="24">
        <f>IF(5&lt;=$B$7,F39+H38,0)</f>
        <v/>
      </c>
      <c r="I39" s="25">
        <f>IF(5&lt;=$B$7,G39+I38,0)</f>
        <v/>
      </c>
      <c r="J39" s="24">
        <f>IF(5&lt;=$B$7,IF(I39&gt;0,H39/I39,0),0)</f>
        <v/>
      </c>
      <c r="K39">
        <f>IF(AND(A39&lt;=$B$7,B39&gt;0,G39&gt;0,ISNUMBER(B39),ISNUMBER(G39)),"Yes","No")</f>
        <v/>
      </c>
    </row>
    <row r="40">
      <c r="A40" s="23" t="n">
        <v>6</v>
      </c>
      <c r="B40" s="24">
        <f>IF(6&lt;=$B$7,'Helpers'!$B$6+('Helpers'!$B$5-'Helpers'!$B$6)*(6-1)/(IF($B$7&gt;1,$B$7-1,1)),0)</f>
        <v/>
      </c>
      <c r="C40" s="20">
        <f>IF(6&lt;=$B$7,EXP(2-2*(6-1)/(IF($B$7&gt;1,$B$7-1,1))),0)</f>
        <v/>
      </c>
      <c r="D40" s="20">
        <f>IF(6&lt;=$B$7,IF(SUM(C35:C54)&gt;0,C40/SUM(C35:C54),0),0)</f>
        <v/>
      </c>
      <c r="E40" s="21">
        <f>IF(6&lt;=$B$7,IF(ISNUMBER(D40),$B$4*D40,0),0)</f>
        <v/>
      </c>
      <c r="F40" s="24">
        <f>IF(6&lt;=$B$7,IF(AND(ISNUMBER(E40),SUM(E35:E54)&gt;0),E40*($B$4/SUM(E35:E54)),0),0)</f>
        <v/>
      </c>
      <c r="G40" s="25">
        <f>IF(6&lt;=$B$7,IF(B40&gt;0,F40/B40,0),0)</f>
        <v/>
      </c>
      <c r="H40" s="24">
        <f>IF(6&lt;=$B$7,F40+H39,0)</f>
        <v/>
      </c>
      <c r="I40" s="25">
        <f>IF(6&lt;=$B$7,G40+I39,0)</f>
        <v/>
      </c>
      <c r="J40" s="24">
        <f>IF(6&lt;=$B$7,IF(I40&gt;0,H40/I40,0),0)</f>
        <v/>
      </c>
      <c r="K40">
        <f>IF(AND(A40&lt;=$B$7,B40&gt;0,G40&gt;0,ISNUMBER(B40),ISNUMBER(G40)),"Yes","No")</f>
        <v/>
      </c>
    </row>
    <row r="41">
      <c r="A41" s="23" t="n">
        <v>7</v>
      </c>
      <c r="B41" s="24">
        <f>IF(7&lt;=$B$7,'Helpers'!$B$6+('Helpers'!$B$5-'Helpers'!$B$6)*(7-1)/(IF($B$7&gt;1,$B$7-1,1)),0)</f>
        <v/>
      </c>
      <c r="C41" s="20">
        <f>IF(7&lt;=$B$7,EXP(2-2*(7-1)/(IF($B$7&gt;1,$B$7-1,1))),0)</f>
        <v/>
      </c>
      <c r="D41" s="20">
        <f>IF(7&lt;=$B$7,IF(SUM(C35:C54)&gt;0,C41/SUM(C35:C54),0),0)</f>
        <v/>
      </c>
      <c r="E41" s="21">
        <f>IF(7&lt;=$B$7,IF(ISNUMBER(D41),$B$4*D41,0),0)</f>
        <v/>
      </c>
      <c r="F41" s="24">
        <f>IF(7&lt;=$B$7,IF(AND(ISNUMBER(E41),SUM(E35:E54)&gt;0),E41*($B$4/SUM(E35:E54)),0),0)</f>
        <v/>
      </c>
      <c r="G41" s="25">
        <f>IF(7&lt;=$B$7,IF(B41&gt;0,F41/B41,0),0)</f>
        <v/>
      </c>
      <c r="H41" s="24">
        <f>IF(7&lt;=$B$7,F41+H40,0)</f>
        <v/>
      </c>
      <c r="I41" s="25">
        <f>IF(7&lt;=$B$7,G41+I40,0)</f>
        <v/>
      </c>
      <c r="J41" s="24">
        <f>IF(7&lt;=$B$7,IF(I41&gt;0,H41/I41,0),0)</f>
        <v/>
      </c>
      <c r="K41">
        <f>IF(AND(A41&lt;=$B$7,B41&gt;0,G41&gt;0,ISNUMBER(B41),ISNUMBER(G41)),"Yes","No")</f>
        <v/>
      </c>
    </row>
    <row r="42">
      <c r="A42" s="23" t="n">
        <v>8</v>
      </c>
      <c r="B42" s="24">
        <f>IF(8&lt;=$B$7,'Helpers'!$B$6+('Helpers'!$B$5-'Helpers'!$B$6)*(8-1)/(IF($B$7&gt;1,$B$7-1,1)),0)</f>
        <v/>
      </c>
      <c r="C42" s="20">
        <f>IF(8&lt;=$B$7,EXP(2-2*(8-1)/(IF($B$7&gt;1,$B$7-1,1))),0)</f>
        <v/>
      </c>
      <c r="D42" s="20">
        <f>IF(8&lt;=$B$7,IF(SUM(C35:C54)&gt;0,C42/SUM(C35:C54),0),0)</f>
        <v/>
      </c>
      <c r="E42" s="21">
        <f>IF(8&lt;=$B$7,IF(ISNUMBER(D42),$B$4*D42,0),0)</f>
        <v/>
      </c>
      <c r="F42" s="24">
        <f>IF(8&lt;=$B$7,IF(AND(ISNUMBER(E42),SUM(E35:E54)&gt;0),E42*($B$4/SUM(E35:E54)),0),0)</f>
        <v/>
      </c>
      <c r="G42" s="25">
        <f>IF(8&lt;=$B$7,IF(B42&gt;0,F42/B42,0),0)</f>
        <v/>
      </c>
      <c r="H42" s="24">
        <f>IF(8&lt;=$B$7,F42+H41,0)</f>
        <v/>
      </c>
      <c r="I42" s="25">
        <f>IF(8&lt;=$B$7,G42+I41,0)</f>
        <v/>
      </c>
      <c r="J42" s="24">
        <f>IF(8&lt;=$B$7,IF(I42&gt;0,H42/I42,0),0)</f>
        <v/>
      </c>
      <c r="K42">
        <f>IF(AND(A42&lt;=$B$7,B42&gt;0,G42&gt;0,ISNUMBER(B42),ISNUMBER(G42)),"Yes","No")</f>
        <v/>
      </c>
    </row>
    <row r="43">
      <c r="A43" s="23" t="n">
        <v>9</v>
      </c>
      <c r="B43" s="24">
        <f>IF(9&lt;=$B$7,'Helpers'!$B$6+('Helpers'!$B$5-'Helpers'!$B$6)*(9-1)/(IF($B$7&gt;1,$B$7-1,1)),0)</f>
        <v/>
      </c>
      <c r="C43" s="20">
        <f>IF(9&lt;=$B$7,EXP(2-2*(9-1)/(IF($B$7&gt;1,$B$7-1,1))),0)</f>
        <v/>
      </c>
      <c r="D43" s="20">
        <f>IF(9&lt;=$B$7,IF(SUM(C35:C54)&gt;0,C43/SUM(C35:C54),0),0)</f>
        <v/>
      </c>
      <c r="E43" s="21">
        <f>IF(9&lt;=$B$7,IF(ISNUMBER(D43),$B$4*D43,0),0)</f>
        <v/>
      </c>
      <c r="F43" s="24">
        <f>IF(9&lt;=$B$7,IF(AND(ISNUMBER(E43),SUM(E35:E54)&gt;0),E43*($B$4/SUM(E35:E54)),0),0)</f>
        <v/>
      </c>
      <c r="G43" s="25">
        <f>IF(9&lt;=$B$7,IF(B43&gt;0,F43/B43,0),0)</f>
        <v/>
      </c>
      <c r="H43" s="24">
        <f>IF(9&lt;=$B$7,F43+H42,0)</f>
        <v/>
      </c>
      <c r="I43" s="25">
        <f>IF(9&lt;=$B$7,G43+I42,0)</f>
        <v/>
      </c>
      <c r="J43" s="24">
        <f>IF(9&lt;=$B$7,IF(I43&gt;0,H43/I43,0),0)</f>
        <v/>
      </c>
      <c r="K43">
        <f>IF(AND(A43&lt;=$B$7,B43&gt;0,G43&gt;0,ISNUMBER(B43),ISNUMBER(G43)),"Yes","No")</f>
        <v/>
      </c>
    </row>
    <row r="44">
      <c r="A44" s="23" t="n">
        <v>10</v>
      </c>
      <c r="B44" s="24">
        <f>IF(10&lt;=$B$7,'Helpers'!$B$6+('Helpers'!$B$5-'Helpers'!$B$6)*(10-1)/(IF($B$7&gt;1,$B$7-1,1)),0)</f>
        <v/>
      </c>
      <c r="C44" s="20">
        <f>IF(10&lt;=$B$7,EXP(2-2*(10-1)/(IF($B$7&gt;1,$B$7-1,1))),0)</f>
        <v/>
      </c>
      <c r="D44" s="20">
        <f>IF(10&lt;=$B$7,IF(SUM(C35:C54)&gt;0,C44/SUM(C35:C54),0),0)</f>
        <v/>
      </c>
      <c r="E44" s="21">
        <f>IF(10&lt;=$B$7,IF(ISNUMBER(D44),$B$4*D44,0),0)</f>
        <v/>
      </c>
      <c r="F44" s="24">
        <f>IF(10&lt;=$B$7,IF(AND(ISNUMBER(E44),SUM(E35:E54)&gt;0),E44*($B$4/SUM(E35:E54)),0),0)</f>
        <v/>
      </c>
      <c r="G44" s="25">
        <f>IF(10&lt;=$B$7,IF(B44&gt;0,F44/B44,0),0)</f>
        <v/>
      </c>
      <c r="H44" s="24">
        <f>IF(10&lt;=$B$7,F44+H43,0)</f>
        <v/>
      </c>
      <c r="I44" s="25">
        <f>IF(10&lt;=$B$7,G44+I43,0)</f>
        <v/>
      </c>
      <c r="J44" s="24">
        <f>IF(10&lt;=$B$7,IF(I44&gt;0,H44/I44,0),0)</f>
        <v/>
      </c>
      <c r="K44">
        <f>IF(AND(A44&lt;=$B$7,B44&gt;0,G44&gt;0,ISNUMBER(B44),ISNUMBER(G44)),"Yes","No")</f>
        <v/>
      </c>
    </row>
    <row r="45">
      <c r="A45" s="23" t="n">
        <v>11</v>
      </c>
      <c r="B45" s="24">
        <f>IF(11&lt;=$B$7,'Helpers'!$B$6+('Helpers'!$B$5-'Helpers'!$B$6)*(11-1)/(IF($B$7&gt;1,$B$7-1,1)),0)</f>
        <v/>
      </c>
      <c r="C45" s="20">
        <f>IF(11&lt;=$B$7,EXP(2-2*(11-1)/(IF($B$7&gt;1,$B$7-1,1))),0)</f>
        <v/>
      </c>
      <c r="D45" s="20">
        <f>IF(11&lt;=$B$7,IF(SUM(C35:C54)&gt;0,C45/SUM(C35:C54),0),0)</f>
        <v/>
      </c>
      <c r="E45" s="21">
        <f>IF(11&lt;=$B$7,IF(ISNUMBER(D45),$B$4*D45,0),0)</f>
        <v/>
      </c>
      <c r="F45" s="24">
        <f>IF(11&lt;=$B$7,IF(AND(ISNUMBER(E45),SUM(E35:E54)&gt;0),E45*($B$4/SUM(E35:E54)),0),0)</f>
        <v/>
      </c>
      <c r="G45" s="25">
        <f>IF(11&lt;=$B$7,IF(B45&gt;0,F45/B45,0),0)</f>
        <v/>
      </c>
      <c r="H45" s="24">
        <f>IF(11&lt;=$B$7,F45+H44,0)</f>
        <v/>
      </c>
      <c r="I45" s="25">
        <f>IF(11&lt;=$B$7,G45+I44,0)</f>
        <v/>
      </c>
      <c r="J45" s="24">
        <f>IF(11&lt;=$B$7,IF(I45&gt;0,H45/I45,0),0)</f>
        <v/>
      </c>
      <c r="K45">
        <f>IF(AND(A45&lt;=$B$7,B45&gt;0,G45&gt;0,ISNUMBER(B45),ISNUMBER(G45)),"Yes","No")</f>
        <v/>
      </c>
    </row>
    <row r="46">
      <c r="A46" s="23" t="n">
        <v>12</v>
      </c>
      <c r="B46" s="24">
        <f>IF(12&lt;=$B$7,'Helpers'!$B$6+('Helpers'!$B$5-'Helpers'!$B$6)*(12-1)/(IF($B$7&gt;1,$B$7-1,1)),0)</f>
        <v/>
      </c>
      <c r="C46" s="20">
        <f>IF(12&lt;=$B$7,EXP(2-2*(12-1)/(IF($B$7&gt;1,$B$7-1,1))),0)</f>
        <v/>
      </c>
      <c r="D46" s="20">
        <f>IF(12&lt;=$B$7,IF(SUM(C35:C54)&gt;0,C46/SUM(C35:C54),0),0)</f>
        <v/>
      </c>
      <c r="E46" s="21">
        <f>IF(12&lt;=$B$7,IF(ISNUMBER(D46),$B$4*D46,0),0)</f>
        <v/>
      </c>
      <c r="F46" s="24">
        <f>IF(12&lt;=$B$7,IF(AND(ISNUMBER(E46),SUM(E35:E54)&gt;0),E46*($B$4/SUM(E35:E54)),0),0)</f>
        <v/>
      </c>
      <c r="G46" s="25">
        <f>IF(12&lt;=$B$7,IF(B46&gt;0,F46/B46,0),0)</f>
        <v/>
      </c>
      <c r="H46" s="24">
        <f>IF(12&lt;=$B$7,F46+H45,0)</f>
        <v/>
      </c>
      <c r="I46" s="25">
        <f>IF(12&lt;=$B$7,G46+I45,0)</f>
        <v/>
      </c>
      <c r="J46" s="24">
        <f>IF(12&lt;=$B$7,IF(I46&gt;0,H46/I46,0),0)</f>
        <v/>
      </c>
      <c r="K46">
        <f>IF(AND(A46&lt;=$B$7,B46&gt;0,G46&gt;0,ISNUMBER(B46),ISNUMBER(G46)),"Yes","No")</f>
        <v/>
      </c>
    </row>
    <row r="47">
      <c r="A47" s="23" t="n">
        <v>13</v>
      </c>
      <c r="B47" s="24">
        <f>IF(13&lt;=$B$7,'Helpers'!$B$6+('Helpers'!$B$5-'Helpers'!$B$6)*(13-1)/(IF($B$7&gt;1,$B$7-1,1)),0)</f>
        <v/>
      </c>
      <c r="C47" s="20">
        <f>IF(13&lt;=$B$7,EXP(2-2*(13-1)/(IF($B$7&gt;1,$B$7-1,1))),0)</f>
        <v/>
      </c>
      <c r="D47" s="20">
        <f>IF(13&lt;=$B$7,IF(SUM(C35:C54)&gt;0,C47/SUM(C35:C54),0),0)</f>
        <v/>
      </c>
      <c r="E47" s="21">
        <f>IF(13&lt;=$B$7,IF(ISNUMBER(D47),$B$4*D47,0),0)</f>
        <v/>
      </c>
      <c r="F47" s="24">
        <f>IF(13&lt;=$B$7,IF(AND(ISNUMBER(E47),SUM(E35:E54)&gt;0),E47*($B$4/SUM(E35:E54)),0),0)</f>
        <v/>
      </c>
      <c r="G47" s="25">
        <f>IF(13&lt;=$B$7,IF(B47&gt;0,F47/B47,0),0)</f>
        <v/>
      </c>
      <c r="H47" s="24">
        <f>IF(13&lt;=$B$7,F47+H46,0)</f>
        <v/>
      </c>
      <c r="I47" s="25">
        <f>IF(13&lt;=$B$7,G47+I46,0)</f>
        <v/>
      </c>
      <c r="J47" s="24">
        <f>IF(13&lt;=$B$7,IF(I47&gt;0,H47/I47,0),0)</f>
        <v/>
      </c>
      <c r="K47">
        <f>IF(AND(A47&lt;=$B$7,B47&gt;0,G47&gt;0,ISNUMBER(B47),ISNUMBER(G47)),"Yes","No")</f>
        <v/>
      </c>
    </row>
    <row r="48">
      <c r="A48" s="23" t="n">
        <v>14</v>
      </c>
      <c r="B48" s="24">
        <f>IF(14&lt;=$B$7,'Helpers'!$B$6+('Helpers'!$B$5-'Helpers'!$B$6)*(14-1)/(IF($B$7&gt;1,$B$7-1,1)),0)</f>
        <v/>
      </c>
      <c r="C48" s="20">
        <f>IF(14&lt;=$B$7,EXP(2-2*(14-1)/(IF($B$7&gt;1,$B$7-1,1))),0)</f>
        <v/>
      </c>
      <c r="D48" s="20">
        <f>IF(14&lt;=$B$7,IF(SUM(C35:C54)&gt;0,C48/SUM(C35:C54),0),0)</f>
        <v/>
      </c>
      <c r="E48" s="21">
        <f>IF(14&lt;=$B$7,IF(ISNUMBER(D48),$B$4*D48,0),0)</f>
        <v/>
      </c>
      <c r="F48" s="24">
        <f>IF(14&lt;=$B$7,IF(AND(ISNUMBER(E48),SUM(E35:E54)&gt;0),E48*($B$4/SUM(E35:E54)),0),0)</f>
        <v/>
      </c>
      <c r="G48" s="25">
        <f>IF(14&lt;=$B$7,IF(B48&gt;0,F48/B48,0),0)</f>
        <v/>
      </c>
      <c r="H48" s="24">
        <f>IF(14&lt;=$B$7,F48+H47,0)</f>
        <v/>
      </c>
      <c r="I48" s="25">
        <f>IF(14&lt;=$B$7,G48+I47,0)</f>
        <v/>
      </c>
      <c r="J48" s="24">
        <f>IF(14&lt;=$B$7,IF(I48&gt;0,H48/I48,0),0)</f>
        <v/>
      </c>
      <c r="K48">
        <f>IF(AND(A48&lt;=$B$7,B48&gt;0,G48&gt;0,ISNUMBER(B48),ISNUMBER(G48)),"Yes","No")</f>
        <v/>
      </c>
    </row>
    <row r="49">
      <c r="A49" s="23" t="n">
        <v>15</v>
      </c>
      <c r="B49" s="24">
        <f>IF(15&lt;=$B$7,'Helpers'!$B$6+('Helpers'!$B$5-'Helpers'!$B$6)*(15-1)/(IF($B$7&gt;1,$B$7-1,1)),0)</f>
        <v/>
      </c>
      <c r="C49" s="20">
        <f>IF(15&lt;=$B$7,EXP(2-2*(15-1)/(IF($B$7&gt;1,$B$7-1,1))),0)</f>
        <v/>
      </c>
      <c r="D49" s="20">
        <f>IF(15&lt;=$B$7,IF(SUM(C35:C54)&gt;0,C49/SUM(C35:C54),0),0)</f>
        <v/>
      </c>
      <c r="E49" s="21">
        <f>IF(15&lt;=$B$7,IF(ISNUMBER(D49),$B$4*D49,0),0)</f>
        <v/>
      </c>
      <c r="F49" s="24">
        <f>IF(15&lt;=$B$7,IF(AND(ISNUMBER(E49),SUM(E35:E54)&gt;0),E49*($B$4/SUM(E35:E54)),0),0)</f>
        <v/>
      </c>
      <c r="G49" s="25">
        <f>IF(15&lt;=$B$7,IF(B49&gt;0,F49/B49,0),0)</f>
        <v/>
      </c>
      <c r="H49" s="24">
        <f>IF(15&lt;=$B$7,F49+H48,0)</f>
        <v/>
      </c>
      <c r="I49" s="25">
        <f>IF(15&lt;=$B$7,G49+I48,0)</f>
        <v/>
      </c>
      <c r="J49" s="24">
        <f>IF(15&lt;=$B$7,IF(I49&gt;0,H49/I49,0),0)</f>
        <v/>
      </c>
      <c r="K49">
        <f>IF(AND(A49&lt;=$B$7,B49&gt;0,G49&gt;0,ISNUMBER(B49),ISNUMBER(G49)),"Yes","No")</f>
        <v/>
      </c>
    </row>
    <row r="50">
      <c r="A50" s="23" t="n">
        <v>16</v>
      </c>
      <c r="B50" s="24">
        <f>IF(16&lt;=$B$7,'Helpers'!$B$6+('Helpers'!$B$5-'Helpers'!$B$6)*(16-1)/(IF($B$7&gt;1,$B$7-1,1)),0)</f>
        <v/>
      </c>
      <c r="C50" s="20">
        <f>IF(16&lt;=$B$7,EXP(2-2*(16-1)/(IF($B$7&gt;1,$B$7-1,1))),0)</f>
        <v/>
      </c>
      <c r="D50" s="20">
        <f>IF(16&lt;=$B$7,IF(SUM(C35:C54)&gt;0,C50/SUM(C35:C54),0),0)</f>
        <v/>
      </c>
      <c r="E50" s="21">
        <f>IF(16&lt;=$B$7,IF(ISNUMBER(D50),$B$4*D50,0),0)</f>
        <v/>
      </c>
      <c r="F50" s="24">
        <f>IF(16&lt;=$B$7,IF(AND(ISNUMBER(E50),SUM(E35:E54)&gt;0),E50*($B$4/SUM(E35:E54)),0),0)</f>
        <v/>
      </c>
      <c r="G50" s="25">
        <f>IF(16&lt;=$B$7,IF(B50&gt;0,F50/B50,0),0)</f>
        <v/>
      </c>
      <c r="H50" s="24">
        <f>IF(16&lt;=$B$7,F50+H49,0)</f>
        <v/>
      </c>
      <c r="I50" s="25">
        <f>IF(16&lt;=$B$7,G50+I49,0)</f>
        <v/>
      </c>
      <c r="J50" s="24">
        <f>IF(16&lt;=$B$7,IF(I50&gt;0,H50/I50,0),0)</f>
        <v/>
      </c>
      <c r="K50">
        <f>IF(AND(A50&lt;=$B$7,B50&gt;0,G50&gt;0,ISNUMBER(B50),ISNUMBER(G50)),"Yes","No")</f>
        <v/>
      </c>
    </row>
    <row r="51">
      <c r="A51" s="23" t="n">
        <v>17</v>
      </c>
      <c r="B51" s="24">
        <f>IF(17&lt;=$B$7,'Helpers'!$B$6+('Helpers'!$B$5-'Helpers'!$B$6)*(17-1)/(IF($B$7&gt;1,$B$7-1,1)),0)</f>
        <v/>
      </c>
      <c r="C51" s="20">
        <f>IF(17&lt;=$B$7,EXP(2-2*(17-1)/(IF($B$7&gt;1,$B$7-1,1))),0)</f>
        <v/>
      </c>
      <c r="D51" s="20">
        <f>IF(17&lt;=$B$7,IF(SUM(C35:C54)&gt;0,C51/SUM(C35:C54),0),0)</f>
        <v/>
      </c>
      <c r="E51" s="21">
        <f>IF(17&lt;=$B$7,IF(ISNUMBER(D51),$B$4*D51,0),0)</f>
        <v/>
      </c>
      <c r="F51" s="24">
        <f>IF(17&lt;=$B$7,IF(AND(ISNUMBER(E51),SUM(E35:E54)&gt;0),E51*($B$4/SUM(E35:E54)),0),0)</f>
        <v/>
      </c>
      <c r="G51" s="25">
        <f>IF(17&lt;=$B$7,IF(B51&gt;0,F51/B51,0),0)</f>
        <v/>
      </c>
      <c r="H51" s="24">
        <f>IF(17&lt;=$B$7,F51+H50,0)</f>
        <v/>
      </c>
      <c r="I51" s="25">
        <f>IF(17&lt;=$B$7,G51+I50,0)</f>
        <v/>
      </c>
      <c r="J51" s="24">
        <f>IF(17&lt;=$B$7,IF(I51&gt;0,H51/I51,0),0)</f>
        <v/>
      </c>
      <c r="K51">
        <f>IF(AND(A51&lt;=$B$7,B51&gt;0,G51&gt;0,ISNUMBER(B51),ISNUMBER(G51)),"Yes","No")</f>
        <v/>
      </c>
    </row>
    <row r="52">
      <c r="A52" s="23" t="n">
        <v>18</v>
      </c>
      <c r="B52" s="24">
        <f>IF(18&lt;=$B$7,'Helpers'!$B$6+('Helpers'!$B$5-'Helpers'!$B$6)*(18-1)/(IF($B$7&gt;1,$B$7-1,1)),0)</f>
        <v/>
      </c>
      <c r="C52" s="20">
        <f>IF(18&lt;=$B$7,EXP(2-2*(18-1)/(IF($B$7&gt;1,$B$7-1,1))),0)</f>
        <v/>
      </c>
      <c r="D52" s="20">
        <f>IF(18&lt;=$B$7,IF(SUM(C35:C54)&gt;0,C52/SUM(C35:C54),0),0)</f>
        <v/>
      </c>
      <c r="E52" s="21">
        <f>IF(18&lt;=$B$7,IF(ISNUMBER(D52),$B$4*D52,0),0)</f>
        <v/>
      </c>
      <c r="F52" s="24">
        <f>IF(18&lt;=$B$7,IF(AND(ISNUMBER(E52),SUM(E35:E54)&gt;0),E52*($B$4/SUM(E35:E54)),0),0)</f>
        <v/>
      </c>
      <c r="G52" s="25">
        <f>IF(18&lt;=$B$7,IF(B52&gt;0,F52/B52,0),0)</f>
        <v/>
      </c>
      <c r="H52" s="24">
        <f>IF(18&lt;=$B$7,F52+H51,0)</f>
        <v/>
      </c>
      <c r="I52" s="25">
        <f>IF(18&lt;=$B$7,G52+I51,0)</f>
        <v/>
      </c>
      <c r="J52" s="24">
        <f>IF(18&lt;=$B$7,IF(I52&gt;0,H52/I52,0),0)</f>
        <v/>
      </c>
      <c r="K52">
        <f>IF(AND(A52&lt;=$B$7,B52&gt;0,G52&gt;0,ISNUMBER(B52),ISNUMBER(G52)),"Yes","No")</f>
        <v/>
      </c>
    </row>
    <row r="53">
      <c r="A53" s="23" t="n">
        <v>19</v>
      </c>
      <c r="B53" s="24">
        <f>IF(19&lt;=$B$7,'Helpers'!$B$6+('Helpers'!$B$5-'Helpers'!$B$6)*(19-1)/(IF($B$7&gt;1,$B$7-1,1)),0)</f>
        <v/>
      </c>
      <c r="C53" s="20">
        <f>IF(19&lt;=$B$7,EXP(2-2*(19-1)/(IF($B$7&gt;1,$B$7-1,1))),0)</f>
        <v/>
      </c>
      <c r="D53" s="20">
        <f>IF(19&lt;=$B$7,IF(SUM(C35:C54)&gt;0,C53/SUM(C35:C54),0),0)</f>
        <v/>
      </c>
      <c r="E53" s="21">
        <f>IF(19&lt;=$B$7,IF(ISNUMBER(D53),$B$4*D53,0),0)</f>
        <v/>
      </c>
      <c r="F53" s="24">
        <f>IF(19&lt;=$B$7,IF(AND(ISNUMBER(E53),SUM(E35:E54)&gt;0),E53*($B$4/SUM(E35:E54)),0),0)</f>
        <v/>
      </c>
      <c r="G53" s="25">
        <f>IF(19&lt;=$B$7,IF(B53&gt;0,F53/B53,0),0)</f>
        <v/>
      </c>
      <c r="H53" s="24">
        <f>IF(19&lt;=$B$7,F53+H52,0)</f>
        <v/>
      </c>
      <c r="I53" s="25">
        <f>IF(19&lt;=$B$7,G53+I52,0)</f>
        <v/>
      </c>
      <c r="J53" s="24">
        <f>IF(19&lt;=$B$7,IF(I53&gt;0,H53/I53,0),0)</f>
        <v/>
      </c>
      <c r="K53">
        <f>IF(AND(A53&lt;=$B$7,B53&gt;0,G53&gt;0,ISNUMBER(B53),ISNUMBER(G53)),"Yes","No")</f>
        <v/>
      </c>
    </row>
    <row r="54">
      <c r="A54" s="23" t="n">
        <v>20</v>
      </c>
      <c r="B54" s="24">
        <f>IF(20&lt;=$B$7,'Helpers'!$B$6+('Helpers'!$B$5-'Helpers'!$B$6)*(20-1)/(IF($B$7&gt;1,$B$7-1,1)),0)</f>
        <v/>
      </c>
      <c r="C54" s="20">
        <f>IF(20&lt;=$B$7,EXP(2-2*(20-1)/(IF($B$7&gt;1,$B$7-1,1))),0)</f>
        <v/>
      </c>
      <c r="D54" s="20">
        <f>IF(20&lt;=$B$7,IF(SUM(C35:C54)&gt;0,C54/SUM(C35:C54),0),0)</f>
        <v/>
      </c>
      <c r="E54" s="21">
        <f>IF(20&lt;=$B$7,IF(ISNUMBER(D54),$B$4*D54,0),0)</f>
        <v/>
      </c>
      <c r="F54" s="24">
        <f>IF(20&lt;=$B$7,IF(AND(ISNUMBER(E54),SUM(E35:E54)&gt;0),E54*($B$4/SUM(E35:E54)),0),0)</f>
        <v/>
      </c>
      <c r="G54" s="25">
        <f>IF(20&lt;=$B$7,IF(B54&gt;0,F54/B54,0),0)</f>
        <v/>
      </c>
      <c r="H54" s="24">
        <f>IF(20&lt;=$B$7,F54+H53,0)</f>
        <v/>
      </c>
      <c r="I54" s="25">
        <f>IF(20&lt;=$B$7,G54+I53,0)</f>
        <v/>
      </c>
      <c r="J54" s="24">
        <f>IF(20&lt;=$B$7,IF(I54&gt;0,H54/I54,0),0)</f>
        <v/>
      </c>
      <c r="K54">
        <f>IF(AND(A54&lt;=$B$7,B54&gt;0,G54&gt;0,ISNUMBER(B54),ISNUMBER(G54)),"Yes","No")</f>
        <v/>
      </c>
    </row>
    <row r="55"/>
    <row r="56"/>
    <row r="57"/>
    <row r="58"/>
    <row r="59" ht="22" customHeight="1">
      <c r="A59" s="26" t="inlineStr">
        <is>
          <t>SELL ORDERS</t>
        </is>
      </c>
    </row>
    <row r="60">
      <c r="A60" s="27" t="n">
        <v>1</v>
      </c>
      <c r="B60" s="21">
        <f>IF(1&lt;=$B$7,'Helpers'!$B$10+'Helpers'!$B$7*(1-1),0)</f>
        <v/>
      </c>
      <c r="C60" s="28">
        <f>IF(1&lt;=$B$7,MAX(B60*'Helpers'!$B$19,'Helpers'!$B$20+'Helpers'!$B$7*(1-1)),0)</f>
        <v/>
      </c>
      <c r="D60" s="20">
        <f>IF(1&lt;=$B$7,EXP(2*(1-1)/(IF($B$7&gt;1,$B$7-1,1))),0)</f>
        <v/>
      </c>
      <c r="E60" s="20">
        <f>IF(1&lt;=$B$7,IF(SUM(D60:D79)&gt;0,D60/SUM(D60:D79),0),0)</f>
        <v/>
      </c>
      <c r="F60" s="20">
        <f>IF(1&lt;=$B$7,'Helpers'!$B$13*E60,0)</f>
        <v/>
      </c>
      <c r="G60" s="29">
        <f>IF(1&lt;=$B$7,IF(AND(ISNUMBER(F60),SUM(F60:F79)&gt;0,'Helpers'!$B$13&gt;0),F60*('Helpers'!$B$13/SUM(F60:F79)),0),0)</f>
        <v/>
      </c>
      <c r="H60" s="28">
        <f>IF(1&lt;=$B$7,C60*G60,0)</f>
        <v/>
      </c>
      <c r="I60" s="28">
        <f>H60</f>
        <v/>
      </c>
      <c r="J60" s="29">
        <f>G60</f>
        <v/>
      </c>
      <c r="K60" s="28">
        <f>IF(1&lt;=$B$7,IF(J60&gt;0,I60/J60,0),0)</f>
        <v/>
      </c>
      <c r="L60">
        <f>IF(AND(A60&lt;=$B$7,C60&gt;0,G60&gt;0,ISNUMBER(C60),ISNUMBER(G60)),"Yes","No")</f>
        <v/>
      </c>
    </row>
    <row r="61">
      <c r="A61" s="30" t="n">
        <v>2</v>
      </c>
      <c r="B61" s="21">
        <f>IF(2&lt;=$B$7,'Helpers'!$B$10+'Helpers'!$B$7*(2-1),0)</f>
        <v/>
      </c>
      <c r="C61" s="31">
        <f>IF(2&lt;=$B$7,MAX(B61*'Helpers'!$B$19,'Helpers'!$B$20+'Helpers'!$B$7*(2-1)),0)</f>
        <v/>
      </c>
      <c r="D61" s="20">
        <f>IF(2&lt;=$B$7,EXP(2*(2-1)/(IF($B$7&gt;1,$B$7-1,1))),0)</f>
        <v/>
      </c>
      <c r="E61" s="20">
        <f>IF(2&lt;=$B$7,IF(SUM(D60:D79)&gt;0,D61/SUM(D60:D79),0),0)</f>
        <v/>
      </c>
      <c r="F61" s="20">
        <f>IF(2&lt;=$B$7,'Helpers'!$B$13*E61,0)</f>
        <v/>
      </c>
      <c r="G61" s="32">
        <f>IF(2&lt;=$B$7,IF(AND(ISNUMBER(F61),SUM(F60:F79)&gt;0,'Helpers'!$B$13&gt;0),F61*('Helpers'!$B$13/SUM(F60:F79)),0),0)</f>
        <v/>
      </c>
      <c r="H61" s="31">
        <f>IF(2&lt;=$B$7,C61*G61,0)</f>
        <v/>
      </c>
      <c r="I61" s="31">
        <f>IF(2&lt;=$B$7,H61+I60,0)</f>
        <v/>
      </c>
      <c r="J61" s="32">
        <f>IF(2&lt;=$B$7,G61+J60,0)</f>
        <v/>
      </c>
      <c r="K61" s="31">
        <f>IF(2&lt;=$B$7,IF(J61&gt;0,I61/J61,0),0)</f>
        <v/>
      </c>
      <c r="L61">
        <f>IF(AND(A61&lt;=$B$7,C61&gt;0,G61&gt;0,ISNUMBER(C61),ISNUMBER(G61)),"Yes","No")</f>
        <v/>
      </c>
    </row>
    <row r="62">
      <c r="A62" s="30" t="n">
        <v>3</v>
      </c>
      <c r="B62" s="21">
        <f>IF(3&lt;=$B$7,'Helpers'!$B$10+'Helpers'!$B$7*(3-1),0)</f>
        <v/>
      </c>
      <c r="C62" s="31">
        <f>IF(3&lt;=$B$7,MAX(B62*'Helpers'!$B$19,'Helpers'!$B$20+'Helpers'!$B$7*(3-1)),0)</f>
        <v/>
      </c>
      <c r="D62" s="20">
        <f>IF(3&lt;=$B$7,EXP(2*(3-1)/(IF($B$7&gt;1,$B$7-1,1))),0)</f>
        <v/>
      </c>
      <c r="E62" s="20">
        <f>IF(3&lt;=$B$7,IF(SUM(D60:D79)&gt;0,D62/SUM(D60:D79),0),0)</f>
        <v/>
      </c>
      <c r="F62" s="20">
        <f>IF(3&lt;=$B$7,'Helpers'!$B$13*E62,0)</f>
        <v/>
      </c>
      <c r="G62" s="32">
        <f>IF(3&lt;=$B$7,IF(AND(ISNUMBER(F62),SUM(F60:F79)&gt;0,'Helpers'!$B$13&gt;0),F62*('Helpers'!$B$13/SUM(F60:F79)),0),0)</f>
        <v/>
      </c>
      <c r="H62" s="31">
        <f>IF(3&lt;=$B$7,C62*G62,0)</f>
        <v/>
      </c>
      <c r="I62" s="31">
        <f>IF(3&lt;=$B$7,H62+I61,0)</f>
        <v/>
      </c>
      <c r="J62" s="32">
        <f>IF(3&lt;=$B$7,G62+J61,0)</f>
        <v/>
      </c>
      <c r="K62" s="31">
        <f>IF(3&lt;=$B$7,IF(J62&gt;0,I62/J62,0),0)</f>
        <v/>
      </c>
      <c r="L62">
        <f>IF(AND(A62&lt;=$B$7,C62&gt;0,G62&gt;0,ISNUMBER(C62),ISNUMBER(G62)),"Yes","No")</f>
        <v/>
      </c>
    </row>
    <row r="63">
      <c r="A63" s="30" t="n">
        <v>4</v>
      </c>
      <c r="B63" s="21">
        <f>IF(4&lt;=$B$7,'Helpers'!$B$10+'Helpers'!$B$7*(4-1),0)</f>
        <v/>
      </c>
      <c r="C63" s="31">
        <f>IF(4&lt;=$B$7,MAX(B63*'Helpers'!$B$19,'Helpers'!$B$20+'Helpers'!$B$7*(4-1)),0)</f>
        <v/>
      </c>
      <c r="D63" s="20">
        <f>IF(4&lt;=$B$7,EXP(2*(4-1)/(IF($B$7&gt;1,$B$7-1,1))),0)</f>
        <v/>
      </c>
      <c r="E63" s="20">
        <f>IF(4&lt;=$B$7,IF(SUM(D60:D79)&gt;0,D63/SUM(D60:D79),0),0)</f>
        <v/>
      </c>
      <c r="F63" s="20">
        <f>IF(4&lt;=$B$7,'Helpers'!$B$13*E63,0)</f>
        <v/>
      </c>
      <c r="G63" s="32">
        <f>IF(4&lt;=$B$7,IF(AND(ISNUMBER(F63),SUM(F60:F79)&gt;0,'Helpers'!$B$13&gt;0),F63*('Helpers'!$B$13/SUM(F60:F79)),0),0)</f>
        <v/>
      </c>
      <c r="H63" s="31">
        <f>IF(4&lt;=$B$7,C63*G63,0)</f>
        <v/>
      </c>
      <c r="I63" s="31">
        <f>IF(4&lt;=$B$7,H63+I62,0)</f>
        <v/>
      </c>
      <c r="J63" s="32">
        <f>IF(4&lt;=$B$7,G63+J62,0)</f>
        <v/>
      </c>
      <c r="K63" s="31">
        <f>IF(4&lt;=$B$7,IF(J63&gt;0,I63/J63,0),0)</f>
        <v/>
      </c>
      <c r="L63">
        <f>IF(AND(A63&lt;=$B$7,C63&gt;0,G63&gt;0,ISNUMBER(C63),ISNUMBER(G63)),"Yes","No")</f>
        <v/>
      </c>
    </row>
    <row r="64">
      <c r="A64" s="30" t="n">
        <v>5</v>
      </c>
      <c r="B64" s="21">
        <f>IF(5&lt;=$B$7,'Helpers'!$B$10+'Helpers'!$B$7*(5-1),0)</f>
        <v/>
      </c>
      <c r="C64" s="31">
        <f>IF(5&lt;=$B$7,MAX(B64*'Helpers'!$B$19,'Helpers'!$B$20+'Helpers'!$B$7*(5-1)),0)</f>
        <v/>
      </c>
      <c r="D64" s="20">
        <f>IF(5&lt;=$B$7,EXP(2*(5-1)/(IF($B$7&gt;1,$B$7-1,1))),0)</f>
        <v/>
      </c>
      <c r="E64" s="20">
        <f>IF(5&lt;=$B$7,IF(SUM(D60:D79)&gt;0,D64/SUM(D60:D79),0),0)</f>
        <v/>
      </c>
      <c r="F64" s="20">
        <f>IF(5&lt;=$B$7,'Helpers'!$B$13*E64,0)</f>
        <v/>
      </c>
      <c r="G64" s="32">
        <f>IF(5&lt;=$B$7,IF(AND(ISNUMBER(F64),SUM(F60:F79)&gt;0,'Helpers'!$B$13&gt;0),F64*('Helpers'!$B$13/SUM(F60:F79)),0),0)</f>
        <v/>
      </c>
      <c r="H64" s="31">
        <f>IF(5&lt;=$B$7,C64*G64,0)</f>
        <v/>
      </c>
      <c r="I64" s="31">
        <f>IF(5&lt;=$B$7,H64+I63,0)</f>
        <v/>
      </c>
      <c r="J64" s="32">
        <f>IF(5&lt;=$B$7,G64+J63,0)</f>
        <v/>
      </c>
      <c r="K64" s="31">
        <f>IF(5&lt;=$B$7,IF(J64&gt;0,I64/J64,0),0)</f>
        <v/>
      </c>
      <c r="L64">
        <f>IF(AND(A64&lt;=$B$7,C64&gt;0,G64&gt;0,ISNUMBER(C64),ISNUMBER(G64)),"Yes","No")</f>
        <v/>
      </c>
    </row>
    <row r="65">
      <c r="A65" s="30" t="n">
        <v>6</v>
      </c>
      <c r="B65" s="21">
        <f>IF(6&lt;=$B$7,'Helpers'!$B$10+'Helpers'!$B$7*(6-1),0)</f>
        <v/>
      </c>
      <c r="C65" s="31">
        <f>IF(6&lt;=$B$7,MAX(B65*'Helpers'!$B$19,'Helpers'!$B$20+'Helpers'!$B$7*(6-1)),0)</f>
        <v/>
      </c>
      <c r="D65" s="20">
        <f>IF(6&lt;=$B$7,EXP(2*(6-1)/(IF($B$7&gt;1,$B$7-1,1))),0)</f>
        <v/>
      </c>
      <c r="E65" s="20">
        <f>IF(6&lt;=$B$7,IF(SUM(D60:D79)&gt;0,D65/SUM(D60:D79),0),0)</f>
        <v/>
      </c>
      <c r="F65" s="20">
        <f>IF(6&lt;=$B$7,'Helpers'!$B$13*E65,0)</f>
        <v/>
      </c>
      <c r="G65" s="32">
        <f>IF(6&lt;=$B$7,IF(AND(ISNUMBER(F65),SUM(F60:F79)&gt;0,'Helpers'!$B$13&gt;0),F65*('Helpers'!$B$13/SUM(F60:F79)),0),0)</f>
        <v/>
      </c>
      <c r="H65" s="31">
        <f>IF(6&lt;=$B$7,C65*G65,0)</f>
        <v/>
      </c>
      <c r="I65" s="31">
        <f>IF(6&lt;=$B$7,H65+I64,0)</f>
        <v/>
      </c>
      <c r="J65" s="32">
        <f>IF(6&lt;=$B$7,G65+J64,0)</f>
        <v/>
      </c>
      <c r="K65" s="31">
        <f>IF(6&lt;=$B$7,IF(J65&gt;0,I65/J65,0),0)</f>
        <v/>
      </c>
      <c r="L65">
        <f>IF(AND(A65&lt;=$B$7,C65&gt;0,G65&gt;0,ISNUMBER(C65),ISNUMBER(G65)),"Yes","No")</f>
        <v/>
      </c>
    </row>
    <row r="66">
      <c r="A66" s="30" t="n">
        <v>7</v>
      </c>
      <c r="B66" s="21">
        <f>IF(7&lt;=$B$7,'Helpers'!$B$10+'Helpers'!$B$7*(7-1),0)</f>
        <v/>
      </c>
      <c r="C66" s="31">
        <f>IF(7&lt;=$B$7,MAX(B66*'Helpers'!$B$19,'Helpers'!$B$20+'Helpers'!$B$7*(7-1)),0)</f>
        <v/>
      </c>
      <c r="D66" s="20">
        <f>IF(7&lt;=$B$7,EXP(2*(7-1)/(IF($B$7&gt;1,$B$7-1,1))),0)</f>
        <v/>
      </c>
      <c r="E66" s="20">
        <f>IF(7&lt;=$B$7,IF(SUM(D60:D79)&gt;0,D66/SUM(D60:D79),0),0)</f>
        <v/>
      </c>
      <c r="F66" s="20">
        <f>IF(7&lt;=$B$7,'Helpers'!$B$13*E66,0)</f>
        <v/>
      </c>
      <c r="G66" s="32">
        <f>IF(7&lt;=$B$7,IF(AND(ISNUMBER(F66),SUM(F60:F79)&gt;0,'Helpers'!$B$13&gt;0),F66*('Helpers'!$B$13/SUM(F60:F79)),0),0)</f>
        <v/>
      </c>
      <c r="H66" s="31">
        <f>IF(7&lt;=$B$7,C66*G66,0)</f>
        <v/>
      </c>
      <c r="I66" s="31">
        <f>IF(7&lt;=$B$7,H66+I65,0)</f>
        <v/>
      </c>
      <c r="J66" s="32">
        <f>IF(7&lt;=$B$7,G66+J65,0)</f>
        <v/>
      </c>
      <c r="K66" s="31">
        <f>IF(7&lt;=$B$7,IF(J66&gt;0,I66/J66,0),0)</f>
        <v/>
      </c>
      <c r="L66">
        <f>IF(AND(A66&lt;=$B$7,C66&gt;0,G66&gt;0,ISNUMBER(C66),ISNUMBER(G66)),"Yes","No")</f>
        <v/>
      </c>
    </row>
    <row r="67">
      <c r="A67" s="30" t="n">
        <v>8</v>
      </c>
      <c r="B67" s="21">
        <f>IF(8&lt;=$B$7,'Helpers'!$B$10+'Helpers'!$B$7*(8-1),0)</f>
        <v/>
      </c>
      <c r="C67" s="31">
        <f>IF(8&lt;=$B$7,MAX(B67*'Helpers'!$B$19,'Helpers'!$B$20+'Helpers'!$B$7*(8-1)),0)</f>
        <v/>
      </c>
      <c r="D67" s="20">
        <f>IF(8&lt;=$B$7,EXP(2*(8-1)/(IF($B$7&gt;1,$B$7-1,1))),0)</f>
        <v/>
      </c>
      <c r="E67" s="20">
        <f>IF(8&lt;=$B$7,IF(SUM(D60:D79)&gt;0,D67/SUM(D60:D79),0),0)</f>
        <v/>
      </c>
      <c r="F67" s="20">
        <f>IF(8&lt;=$B$7,'Helpers'!$B$13*E67,0)</f>
        <v/>
      </c>
      <c r="G67" s="32">
        <f>IF(8&lt;=$B$7,IF(AND(ISNUMBER(F67),SUM(F60:F79)&gt;0,'Helpers'!$B$13&gt;0),F67*('Helpers'!$B$13/SUM(F60:F79)),0),0)</f>
        <v/>
      </c>
      <c r="H67" s="31">
        <f>IF(8&lt;=$B$7,C67*G67,0)</f>
        <v/>
      </c>
      <c r="I67" s="31">
        <f>IF(8&lt;=$B$7,H67+I66,0)</f>
        <v/>
      </c>
      <c r="J67" s="32">
        <f>IF(8&lt;=$B$7,G67+J66,0)</f>
        <v/>
      </c>
      <c r="K67" s="31">
        <f>IF(8&lt;=$B$7,IF(J67&gt;0,I67/J67,0),0)</f>
        <v/>
      </c>
      <c r="L67">
        <f>IF(AND(A67&lt;=$B$7,C67&gt;0,G67&gt;0,ISNUMBER(C67),ISNUMBER(G67)),"Yes","No")</f>
        <v/>
      </c>
    </row>
    <row r="68">
      <c r="A68" s="30" t="n">
        <v>9</v>
      </c>
      <c r="B68" s="21">
        <f>IF(9&lt;=$B$7,'Helpers'!$B$10+'Helpers'!$B$7*(9-1),0)</f>
        <v/>
      </c>
      <c r="C68" s="31">
        <f>IF(9&lt;=$B$7,MAX(B68*'Helpers'!$B$19,'Helpers'!$B$20+'Helpers'!$B$7*(9-1)),0)</f>
        <v/>
      </c>
      <c r="D68" s="20">
        <f>IF(9&lt;=$B$7,EXP(2*(9-1)/(IF($B$7&gt;1,$B$7-1,1))),0)</f>
        <v/>
      </c>
      <c r="E68" s="20">
        <f>IF(9&lt;=$B$7,IF(SUM(D60:D79)&gt;0,D68/SUM(D60:D79),0),0)</f>
        <v/>
      </c>
      <c r="F68" s="20">
        <f>IF(9&lt;=$B$7,'Helpers'!$B$13*E68,0)</f>
        <v/>
      </c>
      <c r="G68" s="32">
        <f>IF(9&lt;=$B$7,IF(AND(ISNUMBER(F68),SUM(F60:F79)&gt;0,'Helpers'!$B$13&gt;0),F68*('Helpers'!$B$13/SUM(F60:F79)),0),0)</f>
        <v/>
      </c>
      <c r="H68" s="31">
        <f>IF(9&lt;=$B$7,C68*G68,0)</f>
        <v/>
      </c>
      <c r="I68" s="31">
        <f>IF(9&lt;=$B$7,H68+I67,0)</f>
        <v/>
      </c>
      <c r="J68" s="32">
        <f>IF(9&lt;=$B$7,G68+J67,0)</f>
        <v/>
      </c>
      <c r="K68" s="31">
        <f>IF(9&lt;=$B$7,IF(J68&gt;0,I68/J68,0),0)</f>
        <v/>
      </c>
      <c r="L68">
        <f>IF(AND(A68&lt;=$B$7,C68&gt;0,G68&gt;0,ISNUMBER(C68),ISNUMBER(G68)),"Yes","No")</f>
        <v/>
      </c>
    </row>
    <row r="69">
      <c r="A69" s="30" t="n">
        <v>10</v>
      </c>
      <c r="B69" s="21">
        <f>IF(10&lt;=$B$7,'Helpers'!$B$10+'Helpers'!$B$7*(10-1),0)</f>
        <v/>
      </c>
      <c r="C69" s="31">
        <f>IF(10&lt;=$B$7,MAX(B69*'Helpers'!$B$19,'Helpers'!$B$20+'Helpers'!$B$7*(10-1)),0)</f>
        <v/>
      </c>
      <c r="D69" s="20">
        <f>IF(10&lt;=$B$7,EXP(2*(10-1)/(IF($B$7&gt;1,$B$7-1,1))),0)</f>
        <v/>
      </c>
      <c r="E69" s="20">
        <f>IF(10&lt;=$B$7,IF(SUM(D60:D79)&gt;0,D69/SUM(D60:D79),0),0)</f>
        <v/>
      </c>
      <c r="F69" s="20">
        <f>IF(10&lt;=$B$7,'Helpers'!$B$13*E69,0)</f>
        <v/>
      </c>
      <c r="G69" s="32">
        <f>IF(10&lt;=$B$7,IF(AND(ISNUMBER(F69),SUM(F60:F79)&gt;0,'Helpers'!$B$13&gt;0),F69*('Helpers'!$B$13/SUM(F60:F79)),0),0)</f>
        <v/>
      </c>
      <c r="H69" s="31">
        <f>IF(10&lt;=$B$7,C69*G69,0)</f>
        <v/>
      </c>
      <c r="I69" s="31">
        <f>IF(10&lt;=$B$7,H69+I68,0)</f>
        <v/>
      </c>
      <c r="J69" s="32">
        <f>IF(10&lt;=$B$7,G69+J68,0)</f>
        <v/>
      </c>
      <c r="K69" s="31">
        <f>IF(10&lt;=$B$7,IF(J69&gt;0,I69/J69,0),0)</f>
        <v/>
      </c>
      <c r="L69">
        <f>IF(AND(A69&lt;=$B$7,C69&gt;0,G69&gt;0,ISNUMBER(C69),ISNUMBER(G69)),"Yes","No")</f>
        <v/>
      </c>
    </row>
    <row r="70">
      <c r="A70" s="30" t="n">
        <v>11</v>
      </c>
      <c r="B70" s="21">
        <f>IF(11&lt;=$B$7,'Helpers'!$B$10+'Helpers'!$B$7*(11-1),0)</f>
        <v/>
      </c>
      <c r="C70" s="31">
        <f>IF(11&lt;=$B$7,MAX(B70*'Helpers'!$B$19,'Helpers'!$B$20+'Helpers'!$B$7*(11-1)),0)</f>
        <v/>
      </c>
      <c r="D70" s="20">
        <f>IF(11&lt;=$B$7,EXP(2*(11-1)/(IF($B$7&gt;1,$B$7-1,1))),0)</f>
        <v/>
      </c>
      <c r="E70" s="20">
        <f>IF(11&lt;=$B$7,IF(SUM(D60:D79)&gt;0,D70/SUM(D60:D79),0),0)</f>
        <v/>
      </c>
      <c r="F70" s="20">
        <f>IF(11&lt;=$B$7,'Helpers'!$B$13*E70,0)</f>
        <v/>
      </c>
      <c r="G70" s="32">
        <f>IF(11&lt;=$B$7,IF(AND(ISNUMBER(F70),SUM(F60:F79)&gt;0,'Helpers'!$B$13&gt;0),F70*('Helpers'!$B$13/SUM(F60:F79)),0),0)</f>
        <v/>
      </c>
      <c r="H70" s="31">
        <f>IF(11&lt;=$B$7,C70*G70,0)</f>
        <v/>
      </c>
      <c r="I70" s="31">
        <f>IF(11&lt;=$B$7,H70+I69,0)</f>
        <v/>
      </c>
      <c r="J70" s="32">
        <f>IF(11&lt;=$B$7,G70+J69,0)</f>
        <v/>
      </c>
      <c r="K70" s="31">
        <f>IF(11&lt;=$B$7,IF(J70&gt;0,I70/J70,0),0)</f>
        <v/>
      </c>
      <c r="L70">
        <f>IF(AND(A70&lt;=$B$7,C70&gt;0,G70&gt;0,ISNUMBER(C70),ISNUMBER(G70)),"Yes","No")</f>
        <v/>
      </c>
    </row>
    <row r="71">
      <c r="A71" s="30" t="n">
        <v>12</v>
      </c>
      <c r="B71" s="21">
        <f>IF(12&lt;=$B$7,'Helpers'!$B$10+'Helpers'!$B$7*(12-1),0)</f>
        <v/>
      </c>
      <c r="C71" s="31">
        <f>IF(12&lt;=$B$7,MAX(B71*'Helpers'!$B$19,'Helpers'!$B$20+'Helpers'!$B$7*(12-1)),0)</f>
        <v/>
      </c>
      <c r="D71" s="20">
        <f>IF(12&lt;=$B$7,EXP(2*(12-1)/(IF($B$7&gt;1,$B$7-1,1))),0)</f>
        <v/>
      </c>
      <c r="E71" s="20">
        <f>IF(12&lt;=$B$7,IF(SUM(D60:D79)&gt;0,D71/SUM(D60:D79),0),0)</f>
        <v/>
      </c>
      <c r="F71" s="20">
        <f>IF(12&lt;=$B$7,'Helpers'!$B$13*E71,0)</f>
        <v/>
      </c>
      <c r="G71" s="32">
        <f>IF(12&lt;=$B$7,IF(AND(ISNUMBER(F71),SUM(F60:F79)&gt;0,'Helpers'!$B$13&gt;0),F71*('Helpers'!$B$13/SUM(F60:F79)),0),0)</f>
        <v/>
      </c>
      <c r="H71" s="31">
        <f>IF(12&lt;=$B$7,C71*G71,0)</f>
        <v/>
      </c>
      <c r="I71" s="31">
        <f>IF(12&lt;=$B$7,H71+I70,0)</f>
        <v/>
      </c>
      <c r="J71" s="32">
        <f>IF(12&lt;=$B$7,G71+J70,0)</f>
        <v/>
      </c>
      <c r="K71" s="31">
        <f>IF(12&lt;=$B$7,IF(J71&gt;0,I71/J71,0),0)</f>
        <v/>
      </c>
      <c r="L71">
        <f>IF(AND(A71&lt;=$B$7,C71&gt;0,G71&gt;0,ISNUMBER(C71),ISNUMBER(G71)),"Yes","No")</f>
        <v/>
      </c>
    </row>
    <row r="72">
      <c r="A72" s="30" t="n">
        <v>13</v>
      </c>
      <c r="B72" s="21">
        <f>IF(13&lt;=$B$7,'Helpers'!$B$10+'Helpers'!$B$7*(13-1),0)</f>
        <v/>
      </c>
      <c r="C72" s="31">
        <f>IF(13&lt;=$B$7,MAX(B72*'Helpers'!$B$19,'Helpers'!$B$20+'Helpers'!$B$7*(13-1)),0)</f>
        <v/>
      </c>
      <c r="D72" s="20">
        <f>IF(13&lt;=$B$7,EXP(2*(13-1)/(IF($B$7&gt;1,$B$7-1,1))),0)</f>
        <v/>
      </c>
      <c r="E72" s="20">
        <f>IF(13&lt;=$B$7,IF(SUM(D60:D79)&gt;0,D72/SUM(D60:D79),0),0)</f>
        <v/>
      </c>
      <c r="F72" s="20">
        <f>IF(13&lt;=$B$7,'Helpers'!$B$13*E72,0)</f>
        <v/>
      </c>
      <c r="G72" s="32">
        <f>IF(13&lt;=$B$7,IF(AND(ISNUMBER(F72),SUM(F60:F79)&gt;0,'Helpers'!$B$13&gt;0),F72*('Helpers'!$B$13/SUM(F60:F79)),0),0)</f>
        <v/>
      </c>
      <c r="H72" s="31">
        <f>IF(13&lt;=$B$7,C72*G72,0)</f>
        <v/>
      </c>
      <c r="I72" s="31">
        <f>IF(13&lt;=$B$7,H72+I71,0)</f>
        <v/>
      </c>
      <c r="J72" s="32">
        <f>IF(13&lt;=$B$7,G72+J71,0)</f>
        <v/>
      </c>
      <c r="K72" s="31">
        <f>IF(13&lt;=$B$7,IF(J72&gt;0,I72/J72,0),0)</f>
        <v/>
      </c>
      <c r="L72">
        <f>IF(AND(A72&lt;=$B$7,C72&gt;0,G72&gt;0,ISNUMBER(C72),ISNUMBER(G72)),"Yes","No")</f>
        <v/>
      </c>
    </row>
    <row r="73">
      <c r="A73" s="30" t="n">
        <v>14</v>
      </c>
      <c r="B73" s="21">
        <f>IF(14&lt;=$B$7,'Helpers'!$B$10+'Helpers'!$B$7*(14-1),0)</f>
        <v/>
      </c>
      <c r="C73" s="31">
        <f>IF(14&lt;=$B$7,MAX(B73*'Helpers'!$B$19,'Helpers'!$B$20+'Helpers'!$B$7*(14-1)),0)</f>
        <v/>
      </c>
      <c r="D73" s="20">
        <f>IF(14&lt;=$B$7,EXP(2*(14-1)/(IF($B$7&gt;1,$B$7-1,1))),0)</f>
        <v/>
      </c>
      <c r="E73" s="20">
        <f>IF(14&lt;=$B$7,IF(SUM(D60:D79)&gt;0,D73/SUM(D60:D79),0),0)</f>
        <v/>
      </c>
      <c r="F73" s="20">
        <f>IF(14&lt;=$B$7,'Helpers'!$B$13*E73,0)</f>
        <v/>
      </c>
      <c r="G73" s="32">
        <f>IF(14&lt;=$B$7,IF(AND(ISNUMBER(F73),SUM(F60:F79)&gt;0,'Helpers'!$B$13&gt;0),F73*('Helpers'!$B$13/SUM(F60:F79)),0),0)</f>
        <v/>
      </c>
      <c r="H73" s="31">
        <f>IF(14&lt;=$B$7,C73*G73,0)</f>
        <v/>
      </c>
      <c r="I73" s="31">
        <f>IF(14&lt;=$B$7,H73+I72,0)</f>
        <v/>
      </c>
      <c r="J73" s="32">
        <f>IF(14&lt;=$B$7,G73+J72,0)</f>
        <v/>
      </c>
      <c r="K73" s="31">
        <f>IF(14&lt;=$B$7,IF(J73&gt;0,I73/J73,0),0)</f>
        <v/>
      </c>
      <c r="L73">
        <f>IF(AND(A73&lt;=$B$7,C73&gt;0,G73&gt;0,ISNUMBER(C73),ISNUMBER(G73)),"Yes","No")</f>
        <v/>
      </c>
    </row>
    <row r="74">
      <c r="A74" s="30" t="n">
        <v>15</v>
      </c>
      <c r="B74" s="21">
        <f>IF(15&lt;=$B$7,'Helpers'!$B$10+'Helpers'!$B$7*(15-1),0)</f>
        <v/>
      </c>
      <c r="C74" s="31">
        <f>IF(15&lt;=$B$7,MAX(B74*'Helpers'!$B$19,'Helpers'!$B$20+'Helpers'!$B$7*(15-1)),0)</f>
        <v/>
      </c>
      <c r="D74" s="20">
        <f>IF(15&lt;=$B$7,EXP(2*(15-1)/(IF($B$7&gt;1,$B$7-1,1))),0)</f>
        <v/>
      </c>
      <c r="E74" s="20">
        <f>IF(15&lt;=$B$7,IF(SUM(D60:D79)&gt;0,D74/SUM(D60:D79),0),0)</f>
        <v/>
      </c>
      <c r="F74" s="20">
        <f>IF(15&lt;=$B$7,'Helpers'!$B$13*E74,0)</f>
        <v/>
      </c>
      <c r="G74" s="32">
        <f>IF(15&lt;=$B$7,IF(AND(ISNUMBER(F74),SUM(F60:F79)&gt;0,'Helpers'!$B$13&gt;0),F74*('Helpers'!$B$13/SUM(F60:F79)),0),0)</f>
        <v/>
      </c>
      <c r="H74" s="31">
        <f>IF(15&lt;=$B$7,C74*G74,0)</f>
        <v/>
      </c>
      <c r="I74" s="31">
        <f>IF(15&lt;=$B$7,H74+I73,0)</f>
        <v/>
      </c>
      <c r="J74" s="32">
        <f>IF(15&lt;=$B$7,G74+J73,0)</f>
        <v/>
      </c>
      <c r="K74" s="31">
        <f>IF(15&lt;=$B$7,IF(J74&gt;0,I74/J74,0),0)</f>
        <v/>
      </c>
      <c r="L74">
        <f>IF(AND(A74&lt;=$B$7,C74&gt;0,G74&gt;0,ISNUMBER(C74),ISNUMBER(G74)),"Yes","No")</f>
        <v/>
      </c>
    </row>
    <row r="75">
      <c r="A75" s="30" t="n">
        <v>16</v>
      </c>
      <c r="B75" s="21">
        <f>IF(16&lt;=$B$7,'Helpers'!$B$10+'Helpers'!$B$7*(16-1),0)</f>
        <v/>
      </c>
      <c r="C75" s="31">
        <f>IF(16&lt;=$B$7,MAX(B75*'Helpers'!$B$19,'Helpers'!$B$20+'Helpers'!$B$7*(16-1)),0)</f>
        <v/>
      </c>
      <c r="D75" s="20">
        <f>IF(16&lt;=$B$7,EXP(2*(16-1)/(IF($B$7&gt;1,$B$7-1,1))),0)</f>
        <v/>
      </c>
      <c r="E75" s="20">
        <f>IF(16&lt;=$B$7,IF(SUM(D60:D79)&gt;0,D75/SUM(D60:D79),0),0)</f>
        <v/>
      </c>
      <c r="F75" s="20">
        <f>IF(16&lt;=$B$7,'Helpers'!$B$13*E75,0)</f>
        <v/>
      </c>
      <c r="G75" s="32">
        <f>IF(16&lt;=$B$7,IF(AND(ISNUMBER(F75),SUM(F60:F79)&gt;0,'Helpers'!$B$13&gt;0),F75*('Helpers'!$B$13/SUM(F60:F79)),0),0)</f>
        <v/>
      </c>
      <c r="H75" s="31">
        <f>IF(16&lt;=$B$7,C75*G75,0)</f>
        <v/>
      </c>
      <c r="I75" s="31">
        <f>IF(16&lt;=$B$7,H75+I74,0)</f>
        <v/>
      </c>
      <c r="J75" s="32">
        <f>IF(16&lt;=$B$7,G75+J74,0)</f>
        <v/>
      </c>
      <c r="K75" s="31">
        <f>IF(16&lt;=$B$7,IF(J75&gt;0,I75/J75,0),0)</f>
        <v/>
      </c>
      <c r="L75">
        <f>IF(AND(A75&lt;=$B$7,C75&gt;0,G75&gt;0,ISNUMBER(C75),ISNUMBER(G75)),"Yes","No")</f>
        <v/>
      </c>
    </row>
    <row r="76">
      <c r="A76" s="30" t="n">
        <v>17</v>
      </c>
      <c r="B76" s="21">
        <f>IF(17&lt;=$B$7,'Helpers'!$B$10+'Helpers'!$B$7*(17-1),0)</f>
        <v/>
      </c>
      <c r="C76" s="31">
        <f>IF(17&lt;=$B$7,MAX(B76*'Helpers'!$B$19,'Helpers'!$B$20+'Helpers'!$B$7*(17-1)),0)</f>
        <v/>
      </c>
      <c r="D76" s="20">
        <f>IF(17&lt;=$B$7,EXP(2*(17-1)/(IF($B$7&gt;1,$B$7-1,1))),0)</f>
        <v/>
      </c>
      <c r="E76" s="20">
        <f>IF(17&lt;=$B$7,IF(SUM(D60:D79)&gt;0,D76/SUM(D60:D79),0),0)</f>
        <v/>
      </c>
      <c r="F76" s="20">
        <f>IF(17&lt;=$B$7,'Helpers'!$B$13*E76,0)</f>
        <v/>
      </c>
      <c r="G76" s="32">
        <f>IF(17&lt;=$B$7,IF(AND(ISNUMBER(F76),SUM(F60:F79)&gt;0,'Helpers'!$B$13&gt;0),F76*('Helpers'!$B$13/SUM(F60:F79)),0),0)</f>
        <v/>
      </c>
      <c r="H76" s="31">
        <f>IF(17&lt;=$B$7,C76*G76,0)</f>
        <v/>
      </c>
      <c r="I76" s="31">
        <f>IF(17&lt;=$B$7,H76+I75,0)</f>
        <v/>
      </c>
      <c r="J76" s="32">
        <f>IF(17&lt;=$B$7,G76+J75,0)</f>
        <v/>
      </c>
      <c r="K76" s="31">
        <f>IF(17&lt;=$B$7,IF(J76&gt;0,I76/J76,0),0)</f>
        <v/>
      </c>
      <c r="L76">
        <f>IF(AND(A76&lt;=$B$7,C76&gt;0,G76&gt;0,ISNUMBER(C76),ISNUMBER(G76)),"Yes","No")</f>
        <v/>
      </c>
    </row>
    <row r="77">
      <c r="A77" s="30" t="n">
        <v>18</v>
      </c>
      <c r="B77" s="21">
        <f>IF(18&lt;=$B$7,'Helpers'!$B$10+'Helpers'!$B$7*(18-1),0)</f>
        <v/>
      </c>
      <c r="C77" s="31">
        <f>IF(18&lt;=$B$7,MAX(B77*'Helpers'!$B$19,'Helpers'!$B$20+'Helpers'!$B$7*(18-1)),0)</f>
        <v/>
      </c>
      <c r="D77" s="20">
        <f>IF(18&lt;=$B$7,EXP(2*(18-1)/(IF($B$7&gt;1,$B$7-1,1))),0)</f>
        <v/>
      </c>
      <c r="E77" s="20">
        <f>IF(18&lt;=$B$7,IF(SUM(D60:D79)&gt;0,D77/SUM(D60:D79),0),0)</f>
        <v/>
      </c>
      <c r="F77" s="20">
        <f>IF(18&lt;=$B$7,'Helpers'!$B$13*E77,0)</f>
        <v/>
      </c>
      <c r="G77" s="32">
        <f>IF(18&lt;=$B$7,IF(AND(ISNUMBER(F77),SUM(F60:F79)&gt;0,'Helpers'!$B$13&gt;0),F77*('Helpers'!$B$13/SUM(F60:F79)),0),0)</f>
        <v/>
      </c>
      <c r="H77" s="31">
        <f>IF(18&lt;=$B$7,C77*G77,0)</f>
        <v/>
      </c>
      <c r="I77" s="31">
        <f>IF(18&lt;=$B$7,H77+I76,0)</f>
        <v/>
      </c>
      <c r="J77" s="32">
        <f>IF(18&lt;=$B$7,G77+J76,0)</f>
        <v/>
      </c>
      <c r="K77" s="31">
        <f>IF(18&lt;=$B$7,IF(J77&gt;0,I77/J77,0),0)</f>
        <v/>
      </c>
      <c r="L77">
        <f>IF(AND(A77&lt;=$B$7,C77&gt;0,G77&gt;0,ISNUMBER(C77),ISNUMBER(G77)),"Yes","No")</f>
        <v/>
      </c>
    </row>
    <row r="78">
      <c r="A78" s="30" t="n">
        <v>19</v>
      </c>
      <c r="B78" s="21">
        <f>IF(19&lt;=$B$7,'Helpers'!$B$10+'Helpers'!$B$7*(19-1),0)</f>
        <v/>
      </c>
      <c r="C78" s="31">
        <f>IF(19&lt;=$B$7,MAX(B78*'Helpers'!$B$19,'Helpers'!$B$20+'Helpers'!$B$7*(19-1)),0)</f>
        <v/>
      </c>
      <c r="D78" s="20">
        <f>IF(19&lt;=$B$7,EXP(2*(19-1)/(IF($B$7&gt;1,$B$7-1,1))),0)</f>
        <v/>
      </c>
      <c r="E78" s="20">
        <f>IF(19&lt;=$B$7,IF(SUM(D60:D79)&gt;0,D78/SUM(D60:D79),0),0)</f>
        <v/>
      </c>
      <c r="F78" s="20">
        <f>IF(19&lt;=$B$7,'Helpers'!$B$13*E78,0)</f>
        <v/>
      </c>
      <c r="G78" s="32">
        <f>IF(19&lt;=$B$7,IF(AND(ISNUMBER(F78),SUM(F60:F79)&gt;0,'Helpers'!$B$13&gt;0),F78*('Helpers'!$B$13/SUM(F60:F79)),0),0)</f>
        <v/>
      </c>
      <c r="H78" s="31">
        <f>IF(19&lt;=$B$7,C78*G78,0)</f>
        <v/>
      </c>
      <c r="I78" s="31">
        <f>IF(19&lt;=$B$7,H78+I77,0)</f>
        <v/>
      </c>
      <c r="J78" s="32">
        <f>IF(19&lt;=$B$7,G78+J77,0)</f>
        <v/>
      </c>
      <c r="K78" s="31">
        <f>IF(19&lt;=$B$7,IF(J78&gt;0,I78/J78,0),0)</f>
        <v/>
      </c>
      <c r="L78">
        <f>IF(AND(A78&lt;=$B$7,C78&gt;0,G78&gt;0,ISNUMBER(C78),ISNUMBER(G78)),"Yes","No")</f>
        <v/>
      </c>
    </row>
    <row r="79">
      <c r="A79" s="30" t="n">
        <v>20</v>
      </c>
      <c r="B79" s="21">
        <f>IF(20&lt;=$B$7,'Helpers'!$B$10+'Helpers'!$B$7*(20-1),0)</f>
        <v/>
      </c>
      <c r="C79" s="31">
        <f>IF(20&lt;=$B$7,MAX(B79*'Helpers'!$B$19,'Helpers'!$B$20+'Helpers'!$B$7*(20-1)),0)</f>
        <v/>
      </c>
      <c r="D79" s="20">
        <f>IF(20&lt;=$B$7,EXP(2*(20-1)/(IF($B$7&gt;1,$B$7-1,1))),0)</f>
        <v/>
      </c>
      <c r="E79" s="20">
        <f>IF(20&lt;=$B$7,IF(SUM(D60:D79)&gt;0,D79/SUM(D60:D79),0),0)</f>
        <v/>
      </c>
      <c r="F79" s="20">
        <f>IF(20&lt;=$B$7,'Helpers'!$B$13*E79,0)</f>
        <v/>
      </c>
      <c r="G79" s="32">
        <f>IF(20&lt;=$B$7,IF(AND(ISNUMBER(F79),SUM(F60:F79)&gt;0,'Helpers'!$B$13&gt;0),F79*('Helpers'!$B$13/SUM(F60:F79)),0),0)</f>
        <v/>
      </c>
      <c r="H79" s="31">
        <f>IF(20&lt;=$B$7,C79*G79,0)</f>
        <v/>
      </c>
      <c r="I79" s="31">
        <f>IF(20&lt;=$B$7,H79+I78,0)</f>
        <v/>
      </c>
      <c r="J79" s="32">
        <f>IF(20&lt;=$B$7,G79+J78,0)</f>
        <v/>
      </c>
      <c r="K79" s="31">
        <f>IF(20&lt;=$B$7,IF(J79&gt;0,I79/J79,0),0)</f>
        <v/>
      </c>
      <c r="L79">
        <f>IF(AND(A79&lt;=$B$7,C79&gt;0,G79&gt;0,ISNUMBER(C79),ISNUMBER(G79)),"Yes","No")</f>
        <v/>
      </c>
    </row>
    <row r="85">
      <c r="A85" s="15" t="inlineStr">
        <is>
          <t>INSTRUCTIONS</t>
        </is>
      </c>
    </row>
    <row r="86">
      <c r="A86" s="16" t="inlineStr">
        <is>
          <t>1. Enter your parameters in the INPUT PARAMETERS section at the top.</t>
        </is>
      </c>
    </row>
    <row r="87">
      <c r="A87" s="16" t="inlineStr">
        <is>
          <t>2. Review the SUMMARY RESULTS to see total cost, revenue, and profit.</t>
        </is>
      </c>
    </row>
    <row r="88">
      <c r="A88" s="16" t="inlineStr">
        <is>
          <t>3. Check VALIDATION STATUS to ensure all inputs are valid.</t>
        </is>
      </c>
    </row>
    <row r="89">
      <c r="A89" s="16" t="inlineStr">
        <is>
          <t>4. View BUY ORDERS and SELL ORDERS tables below.</t>
        </is>
      </c>
    </row>
    <row r="90">
      <c r="A90" s="16" t="inlineStr">
        <is>
          <t>5. Filters are applied automatically - only active rungs are shown.</t>
        </is>
      </c>
    </row>
    <row r="91">
      <c r="A91" s="16" t="inlineStr">
        <is>
          <t>6. See the Charts sheet for visualizations.</t>
        </is>
      </c>
    </row>
    <row r="92">
      <c r="A92" s="16" t="inlineStr">
        <is>
          <t>7. Helper calculations are hidden but can be viewed by unhiding columns.</t>
        </is>
      </c>
    </row>
  </sheetData>
  <autoFilter ref="A59:L79"/>
  <mergeCells count="16">
    <mergeCell ref="A1:D1"/>
    <mergeCell ref="A34:K34"/>
    <mergeCell ref="A89:D89"/>
    <mergeCell ref="A22:D22"/>
    <mergeCell ref="A88:D88"/>
    <mergeCell ref="A91:D91"/>
    <mergeCell ref="A20:D20"/>
    <mergeCell ref="A21:D21"/>
    <mergeCell ref="A3:D3"/>
    <mergeCell ref="A86:D86"/>
    <mergeCell ref="A85:D85"/>
    <mergeCell ref="A87:D87"/>
    <mergeCell ref="A92:D92"/>
    <mergeCell ref="A10:D10"/>
    <mergeCell ref="A90:D90"/>
    <mergeCell ref="A59:L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5" customHeight="1">
      <c r="A1" s="33" t="inlineStr">
        <is>
          <t>HELPER CALCULATIONS</t>
        </is>
      </c>
    </row>
    <row r="2" ht="20" customHeight="1">
      <c r="A2" s="34" t="inlineStr">
        <is>
          <t>⚠ WARNING: These cells are protected. Modifying them may cause calculation errors.</t>
        </is>
      </c>
    </row>
    <row r="3"/>
    <row r="4">
      <c r="A4" s="35" t="inlineStr">
        <is>
          <t>Buy Price Helpers</t>
        </is>
      </c>
    </row>
    <row r="5">
      <c r="A5" s="36" t="inlineStr">
        <is>
          <t>Buy Upper</t>
        </is>
      </c>
      <c r="B5" s="37">
        <f>'Calculator'!$B$5</f>
        <v/>
      </c>
    </row>
    <row r="6">
      <c r="A6" s="36" t="inlineStr">
        <is>
          <t>Buy Lower</t>
        </is>
      </c>
      <c r="B6" s="37">
        <f>IF('Calculator'!$B$5&gt;0,'Calculator'!$B$5*(1-'Calculator'!$B$8/100),0)</f>
        <v/>
      </c>
    </row>
    <row r="7">
      <c r="A7" s="36" t="inlineStr">
        <is>
          <t>Price Step</t>
        </is>
      </c>
      <c r="B7" s="37">
        <f>IF(AND('Calculator'!$B$7&gt;1,B5&gt;0,B6&gt;0),(B5-B6)/('Calculator'!$B$7-1),IF('Calculator'!$B$5&gt;0,'Calculator'!$B$5*0.1,0))</f>
        <v/>
      </c>
    </row>
    <row r="8">
      <c r="A8" s="36" t="inlineStr">
        <is>
          <t>Max Buy Price</t>
        </is>
      </c>
      <c r="B8" s="37">
        <f>'Calculator'!$B$5</f>
        <v/>
      </c>
    </row>
    <row r="9">
      <c r="A9" s="36" t="inlineStr">
        <is>
          <t>Gap Size</t>
        </is>
      </c>
      <c r="B9" s="37">
        <f>IF(AND(B8&gt;0,B7&gt;0),MAX(1,CEILING(B8*'Calculator'!$B$6/100*0.5/B7,1))*B7,0)</f>
        <v/>
      </c>
    </row>
    <row r="10">
      <c r="A10" s="36" t="inlineStr">
        <is>
          <t>Min Sell Price</t>
        </is>
      </c>
      <c r="B10" s="37">
        <f>IF(AND(B8&gt;0,B9&gt;0),B8+B9,0)</f>
        <v/>
      </c>
    </row>
    <row r="11"/>
    <row r="12">
      <c r="A12" s="38" t="inlineStr">
        <is>
          <t>Buy Order Totals</t>
        </is>
      </c>
    </row>
    <row r="13">
      <c r="A13" s="36" t="inlineStr">
        <is>
          <t>Total Buy Qty</t>
        </is>
      </c>
      <c r="B13" s="39">
        <f>SUM('Calculator'!G35:G54)</f>
        <v/>
      </c>
    </row>
    <row r="14">
      <c r="A14" s="36" t="inlineStr">
        <is>
          <t>Total Cost</t>
        </is>
      </c>
      <c r="B14" s="37">
        <f>SUM('Calculator'!F35:F54)</f>
        <v/>
      </c>
    </row>
    <row r="15">
      <c r="A15" s="36" t="inlineStr">
        <is>
          <t>Target Revenue</t>
        </is>
      </c>
      <c r="B15" s="37">
        <f>B14*(1+'Calculator'!$B$6/100)</f>
        <v/>
      </c>
    </row>
    <row r="16"/>
    <row r="17">
      <c r="A17" s="40" t="inlineStr">
        <is>
          <t>Sell Order Helpers</t>
        </is>
      </c>
    </row>
    <row r="18">
      <c r="A18" s="36" t="inlineStr">
        <is>
          <t>Initial Revenue</t>
        </is>
      </c>
      <c r="B18" s="37">
        <f>SUMPRODUCT('Calculator'!B60:B79,'Calculator'!G60:G79)</f>
        <v/>
      </c>
    </row>
    <row r="19">
      <c r="A19" s="36" t="inlineStr">
        <is>
          <t>Price Scale</t>
        </is>
      </c>
      <c r="B19" s="39">
        <f>IF(AND(B18&gt;0,'Helpers'!$B$15&gt;0),'Helpers'!$B$15/B18,1)</f>
        <v/>
      </c>
    </row>
    <row r="20">
      <c r="A20" s="36" t="inlineStr">
        <is>
          <t>Min Valid Sell</t>
        </is>
      </c>
      <c r="B20" s="37">
        <f>IF(AND('Helpers'!$B$8&gt;0,'Helpers'!$B$7&gt;0),'Helpers'!$B$8+'Helpers'!$B$7,0)</f>
        <v/>
      </c>
    </row>
    <row r="21"/>
    <row r="22">
      <c r="A22" s="41" t="inlineStr">
        <is>
          <t>Validation Checks</t>
        </is>
      </c>
    </row>
    <row r="23" ht="16" customHeight="1">
      <c r="A23" s="42" t="inlineStr">
        <is>
          <t>Budget &gt; 0</t>
        </is>
      </c>
      <c r="B23" s="43">
        <f>IF('Calculator'!$B$4&gt;0,"✓ OK","✗ ERROR: Budget must be positive")</f>
        <v/>
      </c>
    </row>
    <row r="24" ht="16" customHeight="1">
      <c r="A24" s="42" t="inlineStr">
        <is>
          <t>Current Price &gt; 0</t>
        </is>
      </c>
      <c r="B24" s="43">
        <f>IF('Calculator'!$B$5&gt;0,"✓ OK","✗ ERROR: Price must be positive")</f>
        <v/>
      </c>
    </row>
    <row r="25" ht="16" customHeight="1">
      <c r="A25" s="42" t="inlineStr">
        <is>
          <t>Profit Target Valid</t>
        </is>
      </c>
      <c r="B25" s="43">
        <f>IF(AND('Calculator'!$B$6&gt;=10,'Calculator'!$B$6&lt;=200),"✓ OK","✗ ERROR: Profit target must be 10-200%")</f>
        <v/>
      </c>
    </row>
    <row r="26" ht="16" customHeight="1">
      <c r="A26" s="42" t="inlineStr">
        <is>
          <t>Num Rungs &gt;= 1</t>
        </is>
      </c>
      <c r="B26" s="43">
        <f>IF('Calculator'!$B$7&gt;=1,"✓ OK","✗ ERROR: Number of rungs must be at least 1")</f>
        <v/>
      </c>
    </row>
    <row r="27" ht="16" customHeight="1">
      <c r="A27" s="42" t="inlineStr">
        <is>
          <t>Buy Price Range Valid</t>
        </is>
      </c>
      <c r="B27" s="43">
        <f>IF(AND('Calculator'!$B$8&gt;0,'Calculator'!$B$8&lt;=100),"✓ OK","✗ ERROR: Buy price range must be 0-100%")</f>
        <v/>
      </c>
    </row>
    <row r="28" ht="16" customHeight="1">
      <c r="A28" s="42" t="inlineStr">
        <is>
          <t>Buy Lower &gt; 0</t>
        </is>
      </c>
      <c r="B28" s="43">
        <f>IF('Helpers'!$B$6&gt;0,"✓ OK","✗ ERROR: Buy lower price is non-positive. Reduce Buy Price Range %")</f>
        <v/>
      </c>
    </row>
    <row r="29" ht="16" customHeight="1">
      <c r="A29" s="42" t="inlineStr">
        <is>
          <t>Sell Prices &gt; Buy Prices</t>
        </is>
      </c>
      <c r="B29" s="43">
        <f>IF(AND('Calculator'!$B$7&gt;0,'Calculator'!$B$7&lt;=20,SUM('Calculator'!B35:B54)&gt;0,SUM('Calculator'!C60:C79)&gt;0),IF(AND(ISNUMBER(INDEX('Calculator'!C60:C79,1)),ISNUMBER(INDEX('Calculator'!B35:B54,'Calculator'!$B$7))),IF(INDEX('Calculator'!C60:C79,1)&gt;INDEX('Calculator'!B35:B54,'Calculator'!$B$7),"✓ OK","✗ ERROR: Sell prices must exceed buy prices"),"N/A"),"N/A")</f>
        <v/>
      </c>
    </row>
    <row r="30" ht="16" customHeight="1">
      <c r="A30" s="42" t="inlineStr">
        <is>
          <t>Volume Match</t>
        </is>
      </c>
      <c r="B30" s="44">
        <f>IF(ABS('Helpers'!$B$13-SUM('Calculator'!G60:G79))&lt;0.0001,"✓ OK","⚠ WARNING: Buy and sell quantities do not match exactly")</f>
        <v/>
      </c>
    </row>
    <row r="31"/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6">
    <mergeCell ref="A4:B4"/>
    <mergeCell ref="A2:B2"/>
    <mergeCell ref="A1:B1"/>
    <mergeCell ref="A17:B17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2025-11-07T07:05:46Z</dcterms:created>
  <dcterms:modified xsi:type="dcterms:W3CDTF">2025-11-07T07:05:46Z</dcterms:modified>
</cp:coreProperties>
</file>